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394eae75b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e83e4cb646e4962"/>
    <x:sheet xmlns:r="http://schemas.openxmlformats.org/officeDocument/2006/relationships" name="Exercise Library" sheetId="2" r:id="R50d82c26f4a14fff"/>
    <x:sheet xmlns:r="http://schemas.openxmlformats.org/officeDocument/2006/relationships" name="Session Log" sheetId="3" r:id="R91b05916eba24ca1"/>
    <x:sheet xmlns:r="http://schemas.openxmlformats.org/officeDocument/2006/relationships" name="Map &amp; Course Guide" sheetId="4" r:id="R46a82d4b2e654ea3"/>
    <x:sheet xmlns:r="http://schemas.openxmlformats.org/officeDocument/2006/relationships" name="Sources &amp; Caveats" sheetId="5" r:id="R2b08adb74f3a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%"/>
  </x:numFmts>
  <x:fonts count="11">
    <x:font>
      <x:sz val="11"/>
      <x:name val="Carlito"/>
    </x:font>
    <x:font>
      <x:b/>
      <x:sz val="19"/>
      <x:color rgb="FFFFFFFF"/>
      <x:name val="Carlito"/>
    </x:font>
    <x:font>
      <x:sz val="10"/>
      <x:color rgb="FF12253F"/>
      <x:name val="Carlito"/>
    </x:font>
    <x:font>
      <x:b/>
      <x:sz val="10"/>
      <x:color rgb="FFFFFFFF"/>
      <x:name val="Carlito"/>
    </x:font>
    <x:font>
      <x:b/>
      <x:sz val="11"/>
      <x:color rgb="FF007B83"/>
      <x:name val="Carlito"/>
    </x:font>
    <x:font>
      <x:b/>
      <x:sz val="11"/>
      <x:color rgb="FF12253F"/>
      <x:name val="Carlito"/>
    </x:font>
    <x:font>
      <x:b/>
      <x:sz val="20"/>
      <x:color rgb="FFFFFFFF"/>
      <x:name val="Carlito"/>
    </x:font>
    <x:font>
      <x:sz val="11"/>
      <x:color rgb="FF12253F"/>
      <x:name val="Carlito"/>
    </x:font>
    <x:font>
      <x:b/>
      <x:sz val="23"/>
      <x:color rgb="FF12253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253F"/>
      </x:patternFill>
    </x:fill>
    <x:fill>
      <x:patternFill patternType="solid">
        <x:fgColor rgb="FFE9F3F4"/>
      </x:patternFill>
    </x:fill>
    <x:fill>
      <x:patternFill patternType="solid">
        <x:fgColor rgb="FF007B83"/>
      </x:patternFill>
    </x:fill>
    <x:fill>
      <x:patternFill patternType="solid">
        <x:fgColor rgb="FFF4F9FC"/>
      </x:patternFill>
    </x:fill>
    <x:fill>
      <x:patternFill patternType="solid">
        <x:fgColor rgb="FFF0F8FF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7249"/>
      </x:font>
      <x:fill>
        <x:patternFill patternType="solid">
          <x:bgColor rgb="FFE6F6ED"/>
        </x:patternFill>
      </x:fill>
    </x:dxf>
    <x:dxf>
      <x:font>
        <x:b/>
        <x:color rgb="FF995C0B"/>
      </x:font>
      <x:fill>
        <x:patternFill patternType="solid">
          <x:bgColor rgb="FFFFF1DC"/>
        </x:patternFill>
      </x:fill>
    </x:dxf>
    <x:dxf>
      <x:fill>
        <x:patternFill patternType="solid">
          <x:bgColor rgb="FFFFF1DC"/>
        </x:patternFill>
      </x:fill>
    </x:dxf>
    <x:dxf>
      <x:font>
        <x:b/>
        <x:color rgb="FF167249"/>
      </x:font>
      <x:fill>
        <x:patternFill patternType="solid">
          <x:bgColor rgb="FFE6F6ED"/>
        </x:patternFill>
      </x:fill>
    </x:dxf>
    <x:dxf>
      <x:font>
        <x:b/>
        <x:color rgb="FF995C0B"/>
      </x:font>
      <x:fill>
        <x:patternFill patternType="solid"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243462b764d65" /><Relationship Type="http://schemas.openxmlformats.org/officeDocument/2006/relationships/theme" Target="/xl/theme/theme1.xml" Id="R71b9d1e855054e9f" /><Relationship Type="http://schemas.openxmlformats.org/officeDocument/2006/relationships/sharedStrings" Target="/xl/sharedStrings.xml" Id="R376fb4f6f4634304" /><Relationship Type="http://schemas.openxmlformats.org/officeDocument/2006/relationships/worksheet" Target="/xl/worksheets/sheet1.xml" Id="R4e83e4cb646e4962" /><Relationship Type="http://schemas.openxmlformats.org/officeDocument/2006/relationships/worksheet" Target="/xl/worksheets/sheet2.xml" Id="R50d82c26f4a14fff" /><Relationship Type="http://schemas.openxmlformats.org/officeDocument/2006/relationships/worksheet" Target="/xl/worksheets/sheet3.xml" Id="R91b05916eba24ca1" /><Relationship Type="http://schemas.openxmlformats.org/officeDocument/2006/relationships/worksheet" Target="/xl/worksheets/sheet4.xml" Id="R46a82d4b2e654ea3" /><Relationship Type="http://schemas.openxmlformats.org/officeDocument/2006/relationships/worksheet" Target="/xl/worksheets/sheet5.xml" Id="R2b08adb74f3a4c70" /></Relationships>
</file>

<file path=xl/tables/table1.xml><?xml version="1.0" encoding="utf-8"?>
<x:table xmlns:x="http://schemas.openxmlformats.org/spreadsheetml/2006/main" id="1" name="BeamNGExerciseLibrary" displayName="BeamNGExerciseLibrary" ref="A4:R52" headerRowCount="1" totalsRowCount="0" totalsRowShown="0">
  <x:tableColumns count="18">
    <x:tableColumn id="1" name="Drill ID"/>
    <x:tableColumn id="2" name="Module"/>
    <x:tableColumn id="3" name="Skill"/>
    <x:tableColumn id="4" name="Level"/>
    <x:tableColumn id="5" name="Exact vehicle/config"/>
    <x:tableColumn id="6" name="Official map / mod"/>
    <x:tableColumn id="7" name="Location to select"/>
    <x:tableColumn id="8" name="Checkpoint / reset setup"/>
    <x:tableColumn id="9" name="What to do"/>
    <x:tableColumn id="10" name="Scored runs"/>
    <x:tableColumn id="11" name="Min. qualifying"/>
    <x:tableColumn id="12" name="PASS for one repetition"/>
    <x:tableColumn id="13" name="What to record"/>
    <x:tableColumn id="14" name="Props / additional setup"/>
    <x:tableColumn id="15" name="Map/source URL"/>
    <x:tableColumn id="16" name="Vehicle/source URL"/>
    <x:tableColumn id="17" name="Sessions"/>
    <x:tableColumn id="1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amNGSessionHistory" displayName="BeamNGSessionHistory" ref="A4:J204" headerRowCount="1" totalsRowCount="0" totalsRowShown="0">
  <x:tableColumns count="10">
    <x:tableColumn id="1" name="Date"/>
    <x:tableColumn id="2" name="Drill ID"/>
    <x:tableColumn id="3" name="Scored runs"/>
    <x:tableColumn id="4" name="Qualifying runs"/>
    <x:tableColumn id="5" name="Best time (s), optional"/>
    <x:tableColumn id="6" name="Focus / most common error"/>
    <x:tableColumn id="7" name="Observed metrics &amp; setup notes"/>
    <x:tableColumn id="8" name="Session result"/>
    <x:tableColumn id="9" name="Session minutes"/>
    <x:tableColumn id="10" name="Coach notes / video timestam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amNGPracticeSites" displayName="BeamNGPracticeSites" ref="A4:F14" headerRowCount="1" totalsRowCount="0" totalsRowShown="0">
  <x:tableColumns count="6">
    <x:tableColumn id="1" name="Site"/>
    <x:tableColumn id="2" name="Official or mod"/>
    <x:tableColumn id="3" name="Repeatable landmark"/>
    <x:tableColumn id="4" name="What to build"/>
    <x:tableColumn id="5" name="Used by"/>
    <x:tableColumn id="6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00662e744c48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4264916d39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1f14b952b54ac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6" hidden="0" customWidth="1"/>
    <x:col min="4" max="4" width="19" hidden="0" customWidth="1"/>
    <x:col min="5" max="5" width="16" hidden="0" customWidth="1"/>
    <x:col min="6" max="6" width="17" hidden="0" customWidth="1"/>
    <x:col min="7" max="7" width="17" hidden="0" customWidth="1"/>
    <x:col min="8" max="8" width="18" hidden="0" customWidth="1"/>
  </x:cols>
  <x:sheetData>
    <x:row r="1" ht="25" customHeight="1">
      <x:c r="A1" s="55" t="str">
        <x:v>BEAMNG  /  RALLY TRAINING ACADEMY</x:v>
      </x:c>
      <x:c r="B1" s="55"/>
      <x:c r="C1" s="55"/>
      <x:c r="D1" s="55"/>
      <x:c r="E1" s="55"/>
      <x:c r="F1" s="55"/>
      <x:c r="G1" s="55"/>
      <x:c r="H1" s="55"/>
    </x:row>
    <x:row r="2" ht="25" customHeight="1">
      <x:c r="A2" s="55"/>
      <x:c r="B2" s="55"/>
      <x:c r="C2" s="55"/>
      <x:c r="D2" s="55"/>
      <x:c r="E2" s="55"/>
      <x:c r="F2" s="55"/>
      <x:c r="G2" s="55"/>
      <x:c r="H2" s="55"/>
    </x:row>
    <x:row r="3" ht="28" customHeight="1">
      <x:c r="A3" s="58" t="str">
        <x:v>48 progressive drills | 6 modules | minimal downtime | your own assessment standards, not official BeamNG missions</x:v>
      </x:c>
      <x:c r="B3" s="58"/>
      <x:c r="C3" s="58"/>
      <x:c r="D3" s="58"/>
      <x:c r="E3" s="58"/>
      <x:c r="F3" s="58"/>
      <x:c r="G3" s="58"/>
      <x:c r="H3" s="58"/>
    </x:row>
    <x:row r="5" ht="24" customHeight="1">
      <x:c r="A5" s="60" t="str">
        <x:v>DRILLS MASTERED</x:v>
      </x:c>
      <x:c r="B5" s="60"/>
      <x:c r="D5" s="60" t="str">
        <x:v>DRILLS IN PRACTICE</x:v>
      </x:c>
      <x:c r="E5" s="60"/>
      <x:c r="G5" s="60" t="str">
        <x:v>SESSION BLOCKS</x:v>
      </x:c>
      <x:c r="H5" s="60"/>
    </x:row>
    <x:row r="6" ht="25" customHeight="1">
      <x:c r="A6" s="65" t="n">
        <x:f>COUNTIF('Exercise Library'!$R$5:$R$52,"MASTERED")</x:f>
        <x:v>0</x:v>
      </x:c>
      <x:c r="B6" s="65"/>
      <x:c r="D6" s="65" t="n">
        <x:f>COUNTIF('Exercise Library'!$R$5:$R$52,"IN PRACTICE")</x:f>
        <x:v>0</x:v>
      </x:c>
      <x:c r="E6" s="65"/>
      <x:c r="G6" s="65" t="n">
        <x:f>COUNTIF('Session Log'!$B$5:$B$204,"?*")</x:f>
        <x:v>0</x:v>
      </x:c>
      <x:c r="H6" s="65"/>
    </x:row>
    <x:row r="7" ht="25" customHeight="1">
      <x:c r="A7" s="65"/>
      <x:c r="B7" s="65"/>
      <x:c r="D7" s="65"/>
      <x:c r="E7" s="65"/>
      <x:c r="G7" s="65"/>
      <x:c r="H7" s="65"/>
    </x:row>
    <x:row r="9" ht="24" customHeight="1">
      <x:c r="A9" s="70" t="str">
        <x:v>PROGRESSION BY MODULE</x:v>
      </x:c>
      <x:c r="B9" s="70"/>
      <x:c r="C9" s="70"/>
      <x:c r="D9" s="70"/>
      <x:c r="E9" s="70"/>
      <x:c r="F9" s="70"/>
      <x:c r="G9" s="70"/>
      <x:c r="H9" s="70"/>
    </x:row>
    <x:row r="10" ht="28" customHeight="1">
      <x:c r="A10" s="17" t="str">
        <x:v>Module</x:v>
      </x:c>
      <x:c r="B10" s="17" t="str">
        <x:v>Skills</x:v>
      </x:c>
      <x:c r="C10" s="17" t="str">
        <x:v>Mastered</x:v>
      </x:c>
      <x:c r="D10" s="17" t="str">
        <x:v>Completion %</x:v>
      </x:c>
    </x:row>
    <x:row r="11" ht="24" customHeight="1">
      <x:c r="A11" t="str">
        <x:v>01  FOUNDATION &amp; PRECISION</x:v>
      </x:c>
      <x:c r="B11" t="n">
        <x:v>8</x:v>
      </x:c>
      <x:c r="C11" t="n">
        <x:f>COUNTIFS('Exercise Library'!$B$5:$B$52,A11,'Exercise Library'!$R$5:$R$52,"MASTERED")</x:f>
        <x:v>0</x:v>
      </x:c>
      <x:c r="D11" s="72" t="n">
        <x:f>IFERROR(C11/B11,0)</x:f>
        <x:v>0</x:v>
      </x:c>
    </x:row>
    <x:row r="12" ht="24" customHeight="1">
      <x:c r="A12" t="str">
        <x:v>02  GRIP &amp; BRAKING</x:v>
      </x:c>
      <x:c r="B12" t="n">
        <x:v>8</x:v>
      </x:c>
      <x:c r="C12" t="n">
        <x:f>COUNTIFS('Exercise Library'!$B$5:$B$52,A12,'Exercise Library'!$R$5:$R$52,"MASTERED")</x:f>
        <x:v>0</x:v>
      </x:c>
      <x:c r="D12" s="72" t="n">
        <x:f>IFERROR(C12/B12,0)</x:f>
        <x:v>0</x:v>
      </x:c>
    </x:row>
    <x:row r="13" ht="24" customHeight="1">
      <x:c r="A13" t="str">
        <x:v>03  ROTATION &amp; SLIDES</x:v>
      </x:c>
      <x:c r="B13" t="n">
        <x:v>8</x:v>
      </x:c>
      <x:c r="C13" t="n">
        <x:f>COUNTIFS('Exercise Library'!$B$5:$B$52,A13,'Exercise Library'!$R$5:$R$52,"MASTERED")</x:f>
        <x:v>0</x:v>
      </x:c>
      <x:c r="D13" s="72" t="n">
        <x:f>IFERROR(C13/B13,0)</x:f>
        <x:v>0</x:v>
      </x:c>
    </x:row>
    <x:row r="14" ht="24" customHeight="1">
      <x:c r="A14" t="str">
        <x:v>04  COMPLEX CORNERING</x:v>
      </x:c>
      <x:c r="B14" t="n">
        <x:v>8</x:v>
      </x:c>
      <x:c r="C14" t="n">
        <x:f>COUNTIFS('Exercise Library'!$B$5:$B$52,A14,'Exercise Library'!$R$5:$R$52,"MASTERED")</x:f>
        <x:v>0</x:v>
      </x:c>
      <x:c r="D14" s="72" t="n">
        <x:f>IFERROR(C14/B14,0)</x:f>
        <x:v>0</x:v>
      </x:c>
    </x:row>
    <x:row r="15" ht="24" customHeight="1">
      <x:c r="A15" t="str">
        <x:v>05  TERRAIN &amp; DRIVETRAINS</x:v>
      </x:c>
      <x:c r="B15" t="n">
        <x:v>8</x:v>
      </x:c>
      <x:c r="C15" t="n">
        <x:f>COUNTIFS('Exercise Library'!$B$5:$B$52,A15,'Exercise Library'!$R$5:$R$52,"MASTERED")</x:f>
        <x:v>0</x:v>
      </x:c>
      <x:c r="D15" s="72" t="n">
        <x:f>IFERROR(C15/B15,0)</x:f>
        <x:v>0</x:v>
      </x:c>
    </x:row>
    <x:row r="16" ht="24" customHeight="1">
      <x:c r="A16" t="str">
        <x:v>06  RALLY STAGE PERFORMANCE</x:v>
      </x:c>
      <x:c r="B16" t="n">
        <x:v>8</x:v>
      </x:c>
      <x:c r="C16" t="n">
        <x:f>COUNTIFS('Exercise Library'!$B$5:$B$52,A16,'Exercise Library'!$R$5:$R$52,"MASTERED")</x:f>
        <x:v>0</x:v>
      </x:c>
      <x:c r="D16" s="72" t="n">
        <x:f>IFERROR(C16/B16,0)</x:f>
        <x:v>0</x:v>
      </x:c>
    </x:row>
    <x:row r="18" ht="26" customHeight="1">
      <x:c r="A18" s="70" t="str">
        <x:v>YOUR FIRST PRACTICE SESSION  ·  45 MINUTES</x:v>
      </x:c>
      <x:c r="B18" s="70"/>
      <x:c r="C18" s="70"/>
      <x:c r="D18" s="70"/>
      <x:c r="E18" s="70"/>
      <x:c r="F18" s="70"/>
      <x:c r="G18" s="70"/>
      <x:c r="H18" s="70"/>
    </x:row>
    <x:row r="19" ht="31" customHeight="1">
      <x:c r="A19" s="74" t="str">
        <x:v>00–05 min</x:v>
      </x:c>
      <x:c r="B19" s="22" t="str">
        <x:v>Choose ETK Driver Experience Center, Covet Student Driver; disable traffic, stabilize camera/assists.</x:v>
      </x:c>
      <x:c r="C19" s="22"/>
      <x:c r="D19" s="22"/>
      <x:c r="E19" s="22"/>
      <x:c r="F19" s="22"/>
      <x:c r="G19" s="22"/>
      <x:c r="H19" s="22"/>
    </x:row>
    <x:row r="20" ht="31" customHeight="1">
      <x:c r="A20" s="74" t="str">
        <x:v>05–15 min</x:v>
      </x:c>
      <x:c r="B20" s="22" t="str">
        <x:v>A01: set a cone gate and parking box on the east skidpad; save start with Ctrl+Home.</x:v>
      </x:c>
      <x:c r="C20" s="22"/>
      <x:c r="D20" s="22"/>
      <x:c r="E20" s="22"/>
      <x:c r="F20" s="22"/>
      <x:c r="G20" s="22"/>
      <x:c r="H20" s="22"/>
    </x:row>
    <x:row r="21" ht="31" customHeight="1">
      <x:c r="A21" s="74" t="str">
        <x:v>15–25 min</x:v>
      </x:c>
      <x:c r="B21" s="22" t="str">
        <x:v>A05: add a stopping line; aim for 8 precise stops out of 10.</x:v>
      </x:c>
      <x:c r="C21" s="22"/>
      <x:c r="D21" s="22"/>
      <x:c r="E21" s="22"/>
      <x:c r="F21" s="22"/>
      <x:c r="G21" s="22"/>
      <x:c r="H21" s="22"/>
    </x:row>
    <x:row r="22" ht="31" customHeight="1">
      <x:c r="A22" s="74" t="str">
        <x:v>25–40 min</x:v>
      </x:c>
      <x:c r="B22" s="22" t="str">
        <x:v>A07 only if time permits: switch to Automation Handling Circuit to compare entry lines.</x:v>
      </x:c>
      <x:c r="C22" s="22"/>
      <x:c r="D22" s="22"/>
      <x:c r="E22" s="22"/>
      <x:c r="F22" s="22"/>
      <x:c r="G22" s="22"/>
      <x:c r="H22" s="22"/>
    </x:row>
    <x:row r="23" ht="31" customHeight="1">
      <x:c r="A23" s="74" t="str">
        <x:v>40–45 min</x:v>
      </x:c>
      <x:c r="B23" s="22" t="str">
        <x:v>Enter results in Session Log; only advance after a PASS block.</x:v>
      </x:c>
      <x:c r="C23" s="22"/>
      <x:c r="D23" s="22"/>
      <x:c r="E23" s="22"/>
      <x:c r="F23" s="22"/>
      <x:c r="G23" s="22"/>
      <x:c r="H23" s="22"/>
    </x:row>
    <x:row r="25" ht="24" customHeight="1">
      <x:c r="A25" s="76" t="str">
        <x:v>SCORING RULES &amp; COMMON CONTROLS</x:v>
      </x:c>
      <x:c r="B25" s="76"/>
      <x:c r="C25" s="76"/>
      <x:c r="D25" s="76"/>
      <x:c r="E25" s="76"/>
      <x:c r="F25" s="76"/>
      <x:c r="G25" s="76"/>
      <x:c r="H25" s="76"/>
    </x:row>
    <x:row r="26" ht="34" customHeight="1">
      <x:c r="A26" s="81" t="str">
        <x:v>1. Run the exact scored count listed in Exercise Library. A qualifying attempt meets the per-repetition PASS criteria in column L.</x:v>
      </x:c>
      <x:c r="B26" s="81"/>
      <x:c r="C26" s="81"/>
      <x:c r="D26" s="81"/>
      <x:c r="E26" s="81"/>
      <x:c r="F26" s="81"/>
      <x:c r="G26" s="81"/>
      <x:c r="H26" s="81"/>
    </x:row>
    <x:row r="27" ht="34" customHeight="1">
      <x:c r="A27" s="88" t="str">
        <x:v>2. Enter all scored runs and qualifying runs in Session Log. One session block becomes PASS when BOTH the required attempts and successes are met.</x:v>
      </x:c>
      <x:c r="B27" s="88"/>
      <x:c r="C27" s="88"/>
      <x:c r="D27" s="88"/>
      <x:c r="E27" s="88"/>
      <x:c r="F27" s="88"/>
      <x:c r="G27" s="88"/>
      <x:c r="H27" s="88"/>
    </x:row>
    <x:row r="28" ht="34" customHeight="1">
      <x:c r="A28" s="81" t="str">
        <x:v>3. One PASS block marks a skill MASTERED for curriculum tracking; retest on another day to validate retention.</x:v>
      </x:c>
      <x:c r="B28" s="81"/>
      <x:c r="C28" s="81"/>
      <x:c r="D28" s="81"/>
      <x:c r="E28" s="81"/>
      <x:c r="F28" s="81"/>
      <x:c r="G28" s="81"/>
      <x:c r="H28" s="81"/>
    </x:row>
    <x:row r="29" ht="34" customHeight="1">
      <x:c r="A29" s="88" t="str">
        <x:v>4. Ctrl+Home: save stationary vehicle position. Home: repair/recover there. Insert: repair. R: mission restart. These are default key bindings.</x:v>
      </x:c>
      <x:c r="B29" s="88"/>
      <x:c r="C29" s="88"/>
      <x:c r="D29" s="88"/>
      <x:c r="E29" s="88"/>
      <x:c r="F29" s="88"/>
      <x:c r="G29" s="88"/>
      <x:c r="H29" s="88"/>
    </x:row>
    <x:row r="30" ht="34" customHeight="1">
      <x:c r="A30" s="81" t="str">
        <x:v>5. Save screenshots of cones and landmarks. These rows are instructions to BUILD each drill in Freeroam, not imported BeamNG scenarios.</x:v>
      </x:c>
      <x:c r="B30" s="81"/>
      <x:c r="C30" s="81"/>
      <x:c r="D30" s="81"/>
      <x:c r="E30" s="81"/>
      <x:c r="F30" s="81"/>
      <x:c r="G30" s="81"/>
      <x:c r="H30" s="81"/>
    </x:row>
    <x:row r="31" ht="34" customHeight="1">
      <x:c r="A31" s="88" t="str">
        <x:v>6. Start with no traffic, daylight, constant camera, identical controls and assists. Time only clean scored attempts.</x:v>
      </x:c>
      <x:c r="B31" s="88"/>
      <x:c r="C31" s="88"/>
      <x:c r="D31" s="88"/>
      <x:c r="E31" s="88"/>
      <x:c r="F31" s="88"/>
      <x:c r="G31" s="88"/>
      <x:c r="H31" s="88"/>
    </x:row>
    <x:row r="32" ht="34" customHeight="1">
      <x:c r="A32" s="81" t="str">
        <x:v>7. Rally Stage Creator adds timed user-created sections; for actual spoken pacenotes use official Rally Mode stages. Mission loops may need menu restarts.</x:v>
      </x:c>
      <x:c r="B32" s="81"/>
      <x:c r="C32" s="81"/>
      <x:c r="D32" s="81"/>
      <x:c r="E32" s="81"/>
      <x:c r="F32" s="81"/>
      <x:c r="G32" s="81"/>
      <x:c r="H32" s="81"/>
    </x:row>
    <x:row r="33" ht="34" customHeight="1">
      <x:c r="A33" s="88" t="str">
        <x:v>8. Optional winter map is NOT bundled; some drills need cones or manually selected safe bends. It is acceptable to adapt a landmark, then keep it fixed.</x:v>
      </x:c>
      <x:c r="B33" s="88"/>
      <x:c r="C33" s="88"/>
      <x:c r="D33" s="88"/>
      <x:c r="E33" s="88"/>
      <x:c r="F33" s="88"/>
      <x:c r="G33" s="88"/>
      <x:c r="H33" s="88"/>
    </x:row>
  </x:sheetData>
  <x:mergeCells>
    <x:mergeCell ref="A1:H2"/>
    <x:mergeCell ref="A3:H3"/>
    <x:mergeCell ref="A5:B5"/>
    <x:mergeCell ref="D5:E5"/>
    <x:mergeCell ref="G5:H5"/>
    <x:mergeCell ref="A6:B7"/>
    <x:mergeCell ref="D6:E7"/>
    <x:mergeCell ref="G6:H7"/>
    <x:mergeCell ref="A9:H9"/>
    <x:mergeCell ref="A18:H18"/>
    <x:mergeCell ref="B19:H19"/>
    <x:mergeCell ref="B20:H20"/>
    <x:mergeCell ref="B21:H21"/>
    <x:mergeCell ref="B22:H22"/>
    <x:mergeCell ref="B23:H23"/>
    <x:mergeCell ref="A25:H25"/>
    <x:mergeCell ref="A26:H26"/>
    <x:mergeCell ref="A27:H27"/>
    <x:mergeCell ref="A28:H28"/>
    <x:mergeCell ref="A29:H29"/>
    <x:mergeCell ref="A30:H30"/>
    <x:mergeCell ref="A31:H31"/>
    <x:mergeCell ref="A32:H32"/>
    <x:mergeCell ref="A33:H33"/>
  </x:mergeCells>
  <x:conditionalFormatting sqref="D11:D16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{9C963BFA-291F-2224-C10D-C67D028A9BC6}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C963BFA-291F-2224-C10D-C67D028A9BC6}">
            <x14:dataBar gradient="1">
              <x14:cfvo type="min"/>
              <x14:cfvo type="max"/>
              <x14:fillColor rgb="FF14B8A6"/>
            </x14:dataBar>
          </x14:cfRule>
          <xm:sqref>D11:D16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7" hidden="0" customWidth="1"/>
    <x:col min="3" max="3" width="29" hidden="0" customWidth="1"/>
    <x:col min="4" max="4" width="15" hidden="0" customWidth="1"/>
    <x:col min="5" max="5" width="38" hidden="0" customWidth="1"/>
    <x:col min="6" max="6" width="31" hidden="0" customWidth="1"/>
    <x:col min="7" max="7" width="39" hidden="0" customWidth="1"/>
    <x:col min="8" max="8" width="48" hidden="0" customWidth="1"/>
    <x:col min="9" max="9" width="51" hidden="0" customWidth="1"/>
    <x:col min="10" max="10" width="13" hidden="0" customWidth="1"/>
    <x:col min="11" max="11" width="14" hidden="0" customWidth="1"/>
    <x:col min="12" max="12" width="54" hidden="0" customWidth="1"/>
    <x:col min="13" max="13" width="33" hidden="0" customWidth="1"/>
    <x:col min="14" max="14" width="53" hidden="0" customWidth="1"/>
    <x:col min="15" max="15" width="48" hidden="0" customWidth="1"/>
    <x:col min="16" max="16" width="48" hidden="0" customWidth="1"/>
    <x:col min="17" max="17" width="12" hidden="0" customWidth="1"/>
    <x:col min="18" max="18" width="17" hidden="0" customWidth="1"/>
  </x:cols>
  <x:sheetData>
    <x:row r="1" ht="25" customHeight="1">
      <x:c r="A1" s="4" t="str">
        <x:v>BEAMNG | RALLY SKILL LIBRARY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6" customHeight="1">
      <x:c r="A3" s="10" t="str">
        <x:v>48 self-built drills • Keep scenery &amp; car fixed • Grey/blue cells are references; status is driven by Session Log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 ht="28" customHeight="1">
      <x:c r="A4" s="17" t="str">
        <x:v>Drill ID</x:v>
      </x:c>
      <x:c r="B4" s="17" t="str">
        <x:v>Module</x:v>
      </x:c>
      <x:c r="C4" s="17" t="str">
        <x:v>Skill</x:v>
      </x:c>
      <x:c r="D4" s="17" t="str">
        <x:v>Level</x:v>
      </x:c>
      <x:c r="E4" s="17" t="str">
        <x:v>Exact vehicle/config</x:v>
      </x:c>
      <x:c r="F4" s="17" t="str">
        <x:v>Official map / mod</x:v>
      </x:c>
      <x:c r="G4" s="17" t="str">
        <x:v>Location to select</x:v>
      </x:c>
      <x:c r="H4" s="17" t="str">
        <x:v>Checkpoint / reset setup</x:v>
      </x:c>
      <x:c r="I4" s="17" t="str">
        <x:v>What to do</x:v>
      </x:c>
      <x:c r="J4" s="17" t="str">
        <x:v>Scored runs</x:v>
      </x:c>
      <x:c r="K4" s="17" t="str">
        <x:v>Min. qualifying</x:v>
      </x:c>
      <x:c r="L4" s="17" t="str">
        <x:v>PASS for one repetition</x:v>
      </x:c>
      <x:c r="M4" s="17" t="str">
        <x:v>What to record</x:v>
      </x:c>
      <x:c r="N4" s="17" t="str">
        <x:v>Props / additional setup</x:v>
      </x:c>
      <x:c r="O4" s="17" t="str">
        <x:v>Map/source URL</x:v>
      </x:c>
      <x:c r="P4" s="17" t="str">
        <x:v>Vehicle/source URL</x:v>
      </x:c>
      <x:c r="Q4" s="17" t="str">
        <x:v>Sessions</x:v>
      </x:c>
      <x:c r="R4" s="17" t="str">
        <x:v>Status</x:v>
      </x:c>
    </x:row>
    <x:row r="5" ht="86" customHeight="1">
      <x:c r="A5" s="29" t="str">
        <x:v>A01</x:v>
      </x:c>
      <x:c r="B5" s="24" t="str">
        <x:v>01  FOUNDATION &amp; PRECISION</x:v>
      </x:c>
      <x:c r="C5" s="24" t="str">
        <x:v>Steering and spatial awareness</x:v>
      </x:c>
      <x:c r="D5" s="24" t="str">
        <x:v>Core</x:v>
      </x:c>
      <x:c r="E5" s="24" t="str">
        <x:v>Ibishu Covet — Student Driver (M), FWD</x:v>
      </x:c>
      <x:c r="F5" s="24" t="str">
        <x:v>ETK Driver Experience Center</x:v>
      </x:c>
      <x:c r="G5" s="24" t="str">
        <x:v>East-side open skidpad: mark a 3 m wide gate and parking box</x:v>
      </x:c>
      <x:c r="H5" s="24" t="str">
        <x:v>Stationary, 8 m before entry gate; face straight into the box. Save there.</x:v>
      </x:c>
      <x:c r="I5" s="24" t="str">
        <x:v>Drive through entry gate, steer around one cone, and stop entirely inside a parking box.</x:v>
      </x:c>
      <x:c r="J5" s="37" t="n">
        <x:v>10</x:v>
      </x:c>
      <x:c r="K5" s="37" t="n">
        <x:v>8</x:v>
      </x:c>
      <x:c r="L5" s="24" t="str">
        <x:v>No cone contact; all four wheels finish inside box; no reversing.</x:v>
      </x:c>
      <x:c r="M5" s="24" t="str">
        <x:v>Successful precise parks / 10</x:v>
      </x:c>
      <x:c r="N5" s="24" t="str">
        <x:v>Use six cones to mark entry, turn and box.</x:v>
      </x:c>
      <x:c r="O5" s="24" t="str">
        <x:v>https://documentation.beamng.com/official_content/levels/</x:v>
      </x:c>
      <x:c r="P5" s="24" t="str">
        <x:v>https://documentation.beamng.com/official_content/vehicles/ibishu/</x:v>
      </x:c>
      <x:c r="Q5" s="24" t="n">
        <x:f>COUNTIF('Session Log'!$B$5:$B$204,A5)</x:f>
        <x:v>0</x:v>
      </x:c>
      <x:c r="R5" s="24" t="str">
        <x:f>IF(COUNTIFS('Session Log'!$B$5:$B$204,A5,'Session Log'!$H$5:$H$204,"PASS")&gt;0,"MASTERED",IF(Q5&gt;0,"IN PRACTICE","NOT STARTED"))</x:f>
        <x:v>NOT STARTED</x:v>
      </x:c>
    </x:row>
    <x:row r="6" ht="86" customHeight="1">
      <x:c r="A6" s="29" t="str">
        <x:v>A02</x:v>
      </x:c>
      <x:c r="B6" s="24" t="str">
        <x:v>01  FOUNDATION &amp; PRECISION</x:v>
      </x:c>
      <x:c r="C6" s="24" t="str">
        <x:v>Clutch engagement and launches</x:v>
      </x:c>
      <x:c r="D6" s="24" t="str">
        <x:v>Core</x:v>
      </x:c>
      <x:c r="E6" s="24" t="str">
        <x:v>Ibishu Covet — Student Driver (M), FWD</x:v>
      </x:c>
      <x:c r="F6" s="24" t="str">
        <x:v>Automation Test Track</x:v>
      </x:c>
      <x:c r="G6" s="24" t="str">
        <x:v>Aerodrome runway: quiet straight section</x:v>
      </x:c>
      <x:c r="H6" s="24" t="str">
        <x:v>Stationary in 1st gear at fixed start cone; save with clutch disengaged.</x:v>
      </x:c>
      <x:c r="I6" s="24" t="str">
        <x:v>Launch from 0 to 40 km/h; shift 1→2; then roll to a controlled stop.</x:v>
      </x:c>
      <x:c r="J6" s="37" t="n">
        <x:v>10</x:v>
      </x:c>
      <x:c r="K6" s="37" t="n">
        <x:v>8</x:v>
      </x:c>
      <x:c r="L6" s="24" t="str">
        <x:v>No stall, no missed shift and no sustained wheelspin (&gt;1 s).</x:v>
      </x:c>
      <x:c r="M6" s="24" t="str">
        <x:v>Successful smooth launches / 10</x:v>
      </x:c>
      <x:c r="N6" s="24" t="str">
        <x:v>Manual gearbox; retain identical clutch-assist settings.</x:v>
      </x:c>
      <x:c r="O6" s="24" t="str">
        <x:v>https://documentation.beamng.com/official_content/levels/</x:v>
      </x:c>
      <x:c r="P6" s="24" t="str">
        <x:v>https://documentation.beamng.com/official_content/vehicles/ibishu/</x:v>
      </x:c>
      <x:c r="Q6" s="24" t="n">
        <x:f>COUNTIF('Session Log'!$B$5:$B$204,A6)</x:f>
        <x:v>0</x:v>
      </x:c>
      <x:c r="R6" s="24" t="str">
        <x:f>IF(COUNTIFS('Session Log'!$B$5:$B$204,A6,'Session Log'!$H$5:$H$204,"PASS")&gt;0,"MASTERED",IF(Q6&gt;0,"IN PRACTICE","NOT STARTED"))</x:f>
        <x:v>NOT STARTED</x:v>
      </x:c>
    </x:row>
    <x:row r="7" ht="86" customHeight="1">
      <x:c r="A7" s="29" t="str">
        <x:v>A03</x:v>
      </x:c>
      <x:c r="B7" s="24" t="str">
        <x:v>01  FOUNDATION &amp; PRECISION</x:v>
      </x:c>
      <x:c r="C7" s="24" t="str">
        <x:v>Gear selection and downshifting</x:v>
      </x:c>
      <x:c r="D7" s="24" t="str">
        <x:v>Core</x:v>
      </x:c>
      <x:c r="E7" s="24" t="str">
        <x:v>Ibishu Covet — Student Driver (M), FWD</x:v>
      </x:c>
      <x:c r="F7" s="24" t="str">
        <x:v>Automation Test Track</x:v>
      </x:c>
      <x:c r="G7" s="24" t="str">
        <x:v>Aerodrome runway: 250 m straight</x:v>
      </x:c>
      <x:c r="H7" s="24" t="str">
        <x:v>Stationary at start cone; mark 50 m end gate.</x:v>
      </x:c>
      <x:c r="I7" s="24" t="str">
        <x:v>Accelerate to 60 km/h and downshift progressively to 2nd as you slow before the end gate.</x:v>
      </x:c>
      <x:c r="J7" s="37" t="n">
        <x:v>10</x:v>
      </x:c>
      <x:c r="K7" s="37" t="n">
        <x:v>8</x:v>
      </x:c>
      <x:c r="L7" s="24" t="str">
        <x:v>Correct shifts without over-rev, wheel lock, stall or missed shift; stop before gate.</x:v>
      </x:c>
      <x:c r="M7" s="24" t="str">
        <x:v>Clean gear sequences / 10</x:v>
      </x:c>
      <x:c r="N7" s="24" t="str">
        <x:v>Use tachometer HUD; no racing downshifts.</x:v>
      </x:c>
      <x:c r="O7" s="24" t="str">
        <x:v>https://documentation.beamng.com/official_content/levels/</x:v>
      </x:c>
      <x:c r="P7" s="24" t="str">
        <x:v>https://documentation.beamng.com/official_content/vehicles/ibishu/</x:v>
      </x:c>
      <x:c r="Q7" s="24" t="n">
        <x:f>COUNTIF('Session Log'!$B$5:$B$204,A7)</x:f>
        <x:v>0</x:v>
      </x:c>
      <x:c r="R7" s="24" t="str">
        <x:f>IF(COUNTIFS('Session Log'!$B$5:$B$204,A7,'Session Log'!$H$5:$H$204,"PASS")&gt;0,"MASTERED",IF(Q7&gt;0,"IN PRACTICE","NOT STARTED"))</x:f>
        <x:v>NOT STARTED</x:v>
      </x:c>
    </x:row>
    <x:row r="8" ht="86" customHeight="1">
      <x:c r="A8" s="29" t="str">
        <x:v>A04</x:v>
      </x:c>
      <x:c r="B8" s="24" t="str">
        <x:v>01  FOUNDATION &amp; PRECISION</x:v>
      </x:c>
      <x:c r="C8" s="24" t="str">
        <x:v>Throttle modulation</x:v>
      </x:c>
      <x:c r="D8" s="24" t="str">
        <x:v>Core</x:v>
      </x:c>
      <x:c r="E8" s="24" t="str">
        <x:v>Ibishu Covet — Student Driver (M), FWD</x:v>
      </x:c>
      <x:c r="F8" s="24" t="str">
        <x:v>Automation Test Track</x:v>
      </x:c>
      <x:c r="G8" s="24" t="str">
        <x:v>Runway: mark three 25 m timing zones</x:v>
      </x:c>
      <x:c r="H8" s="24" t="str">
        <x:v>Stationary 30 m before first speed zone; save facing down runway.</x:v>
      </x:c>
      <x:c r="I8" s="24" t="str">
        <x:v>Bring car to 30 km/h, then hold that speed across three cone-marked 25 m zones.</x:v>
      </x:c>
      <x:c r="J8" s="37" t="n">
        <x:v>10</x:v>
      </x:c>
      <x:c r="K8" s="37" t="n">
        <x:v>8</x:v>
      </x:c>
      <x:c r="L8" s="24" t="str">
        <x:v>Speed at each of three markers between 27–33 km/h; no braking once inside zones.</x:v>
      </x:c>
      <x:c r="M8" s="24" t="str">
        <x:v>Runs with all three markers in band</x:v>
      </x:c>
      <x:c r="N8" s="24" t="str">
        <x:v>Use speedometer; initial speed build-up is unscored.</x:v>
      </x:c>
      <x:c r="O8" s="24" t="str">
        <x:v>https://documentation.beamng.com/official_content/levels/</x:v>
      </x:c>
      <x:c r="P8" s="24" t="str">
        <x:v>https://documentation.beamng.com/official_content/vehicles/ibishu/</x:v>
      </x:c>
      <x:c r="Q8" s="24" t="n">
        <x:f>COUNTIF('Session Log'!$B$5:$B$204,A8)</x:f>
        <x:v>0</x:v>
      </x:c>
      <x:c r="R8" s="24" t="str">
        <x:f>IF(COUNTIFS('Session Log'!$B$5:$B$204,A8,'Session Log'!$H$5:$H$204,"PASS")&gt;0,"MASTERED",IF(Q8&gt;0,"IN PRACTICE","NOT STARTED"))</x:f>
        <x:v>NOT STARTED</x:v>
      </x:c>
    </x:row>
    <x:row r="9" ht="86" customHeight="1">
      <x:c r="A9" s="29" t="str">
        <x:v>A05</x:v>
      </x:c>
      <x:c r="B9" s="24" t="str">
        <x:v>01  FOUNDATION &amp; PRECISION</x:v>
      </x:c>
      <x:c r="C9" s="24" t="str">
        <x:v>Braking accuracy</x:v>
      </x:c>
      <x:c r="D9" s="24" t="str">
        <x:v>Core</x:v>
      </x:c>
      <x:c r="E9" s="24" t="str">
        <x:v>Ibishu Covet — Student Driver (M), FWD</x:v>
      </x:c>
      <x:c r="F9" s="24" t="str">
        <x:v>ETK Driver Experience Center</x:v>
      </x:c>
      <x:c r="G9" s="24" t="str">
        <x:v>East skidpad: straight approach to a stop box</x:v>
      </x:c>
      <x:c r="H9" s="24" t="str">
        <x:v>Stationary 80 m before stop line; accelerate to 40 km/h at approach marker.</x:v>
      </x:c>
      <x:c r="I9" s="24" t="str">
        <x:v>Brake once from 40 km/h and stop at a cone-marked line.</x:v>
      </x:c>
      <x:c r="J9" s="37" t="n">
        <x:v>10</x:v>
      </x:c>
      <x:c r="K9" s="37" t="n">
        <x:v>8</x:v>
      </x:c>
      <x:c r="L9" s="24" t="str">
        <x:v>Front bumper ends 0–2 m before line; no contact, overshoot or wheel lock.</x:v>
      </x:c>
      <x:c r="M9" s="24" t="str">
        <x:v>Accurate stops / 10</x:v>
      </x:c>
      <x:c r="N9" s="24" t="str">
        <x:v>Use visible cone pair to indicate line; adjust start distance for runway available.</x:v>
      </x:c>
      <x:c r="O9" s="24" t="str">
        <x:v>https://documentation.beamng.com/official_content/levels/</x:v>
      </x:c>
      <x:c r="P9" s="24" t="str">
        <x:v>https://documentation.beamng.com/official_content/vehicles/ibishu/</x:v>
      </x:c>
      <x:c r="Q9" s="24" t="n">
        <x:f>COUNTIF('Session Log'!$B$5:$B$204,A9)</x:f>
        <x:v>0</x:v>
      </x:c>
      <x:c r="R9" s="24" t="str">
        <x:f>IF(COUNTIFS('Session Log'!$B$5:$B$204,A9,'Session Log'!$H$5:$H$204,"PASS")&gt;0,"MASTERED",IF(Q9&gt;0,"IN PRACTICE","NOT STARTED"))</x:f>
        <x:v>NOT STARTED</x:v>
      </x:c>
    </x:row>
    <x:row r="10" ht="86" customHeight="1">
      <x:c r="A10" s="29" t="str">
        <x:v>A06</x:v>
      </x:c>
      <x:c r="B10" s="24" t="str">
        <x:v>01  FOUNDATION &amp; PRECISION</x:v>
      </x:c>
      <x:c r="C10" s="24" t="str">
        <x:v>Vision and looking ahead</x:v>
      </x:c>
      <x:c r="D10" s="24" t="str">
        <x:v>Core</x:v>
      </x:c>
      <x:c r="E10" s="24" t="str">
        <x:v>Ibishu Covet — Student Driver (M), FWD</x:v>
      </x:c>
      <x:c r="F10" s="24" t="str">
        <x:v>Automation Test Track</x:v>
      </x:c>
      <x:c r="G10" s="24" t="str">
        <x:v>Handling Circuit: one pair of linked bends</x:v>
      </x:c>
      <x:c r="H10" s="24" t="str">
        <x:v>Stationary 50 m before first bend; fix start direction.</x:v>
      </x:c>
      <x:c r="I10" s="24" t="str">
        <x:v>Drive bends while speaking the *next* turn direction and apex marker aloud before current apex.</x:v>
      </x:c>
      <x:c r="J10" s="37" t="n">
        <x:v>10</x:v>
      </x:c>
      <x:c r="K10" s="37" t="n">
        <x:v>8</x:v>
      </x:c>
      <x:c r="L10" s="24" t="str">
        <x:v>Name the following bend and its target before the first apex; complete both cleanly.</x:v>
      </x:c>
      <x:c r="M10" s="24" t="str">
        <x:v>Correct look-ahead calls / 10</x:v>
      </x:c>
      <x:c r="N10" s="24" t="str">
        <x:v>Voice-record or self-score; course layout fixed, no visual eye-tracking assumed.</x:v>
      </x:c>
      <x:c r="O10" s="24" t="str">
        <x:v>https://documentation.beamng.com/official_content/levels/</x:v>
      </x:c>
      <x:c r="P10" s="24" t="str">
        <x:v>https://documentation.beamng.com/official_content/vehicles/ibishu/</x:v>
      </x:c>
      <x:c r="Q10" s="24" t="n">
        <x:f>COUNTIF('Session Log'!$B$5:$B$204,A10)</x:f>
        <x:v>0</x:v>
      </x:c>
      <x:c r="R10" s="24" t="str">
        <x:f>IF(COUNTIFS('Session Log'!$B$5:$B$204,A10,'Session Log'!$H$5:$H$204,"PASS")&gt;0,"MASTERED",IF(Q10&gt;0,"IN PRACTICE","NOT STARTED"))</x:f>
        <x:v>NOT STARTED</x:v>
      </x:c>
    </x:row>
    <x:row r="11" ht="86" customHeight="1">
      <x:c r="A11" s="29" t="str">
        <x:v>A07</x:v>
      </x:c>
      <x:c r="B11" s="24" t="str">
        <x:v>01  FOUNDATION &amp; PRECISION</x:v>
      </x:c>
      <x:c r="C11" s="24" t="str">
        <x:v>Basic racing lines</x:v>
      </x:c>
      <x:c r="D11" s="24" t="str">
        <x:v>Core</x:v>
      </x:c>
      <x:c r="E11" s="24" t="str">
        <x:v>Hirochi Sunburst — 1.6 Base FWD (M)</x:v>
      </x:c>
      <x:c r="F11" s="24" t="str">
        <x:v>Automation Test Track</x:v>
      </x:c>
      <x:c r="G11" s="24" t="str">
        <x:v>Handling Circuit: choose one medium-speed corner</x:v>
      </x:c>
      <x:c r="H11" s="24" t="str">
        <x:v>Stationary 60 m before braking marker, same approach line.</x:v>
      </x:c>
      <x:c r="I11" s="24" t="str">
        <x:v>Compare early, middle and late-apex lines; finish with 10 scored laps using the most repeatable line.</x:v>
      </x:c>
      <x:c r="J11" s="37" t="n">
        <x:v>10</x:v>
      </x:c>
      <x:c r="K11" s="37" t="n">
        <x:v>8</x:v>
      </x:c>
      <x:c r="L11" s="24" t="str">
        <x:v>Clean corner, all wheels on pavement and through a 3 m exit gate.</x:v>
      </x:c>
      <x:c r="M11" s="24" t="str">
        <x:v>Clean exits and exit speed at gate</x:v>
      </x:c>
      <x:c r="N11" s="24" t="str">
        <x:v>Run 3 exploratory passes per line before 10 scored attempts.</x:v>
      </x:c>
      <x:c r="O11" s="24" t="str">
        <x:v>https://documentation.beamng.com/official_content/levels/</x:v>
      </x:c>
      <x:c r="P11" s="24" t="str">
        <x:v>https://documentation.beamng.com/official_content/vehicles/hirochi/</x:v>
      </x:c>
      <x:c r="Q11" s="24" t="n">
        <x:f>COUNTIF('Session Log'!$B$5:$B$204,A11)</x:f>
        <x:v>0</x:v>
      </x:c>
      <x:c r="R11" s="24" t="str">
        <x:f>IF(COUNTIFS('Session Log'!$B$5:$B$204,A11,'Session Log'!$H$5:$H$204,"PASS")&gt;0,"MASTERED",IF(Q11&gt;0,"IN PRACTICE","NOT STARTED"))</x:f>
        <x:v>NOT STARTED</x:v>
      </x:c>
    </x:row>
    <x:row r="12" ht="86" customHeight="1">
      <x:c r="A12" s="29" t="str">
        <x:v>A08</x:v>
      </x:c>
      <x:c r="B12" s="24" t="str">
        <x:v>01  FOUNDATION &amp; PRECISION</x:v>
      </x:c>
      <x:c r="C12" s="24" t="str">
        <x:v>Apex and exit selection</x:v>
      </x:c>
      <x:c r="D12" s="24" t="str">
        <x:v>Core</x:v>
      </x:c>
      <x:c r="E12" s="24" t="str">
        <x:v>Hirochi Sunburst — 1.6 Base FWD (M)</x:v>
      </x:c>
      <x:c r="F12" s="24" t="str">
        <x:v>Automation Test Track</x:v>
      </x:c>
      <x:c r="G12" s="24" t="str">
        <x:v>Handling Circuit: same corner as A07</x:v>
      </x:c>
      <x:c r="H12" s="24" t="str">
        <x:v>Reuse A07 checkpoint and exit gate.</x:v>
      </x:c>
      <x:c r="I12" s="24" t="str">
        <x:v>Move the apex gate slightly later and target a stable, straight corner exit.</x:v>
      </x:c>
      <x:c r="J12" s="37" t="n">
        <x:v>10</x:v>
      </x:c>
      <x:c r="K12" s="37" t="n">
        <x:v>8</x:v>
      </x:c>
      <x:c r="L12" s="24" t="str">
        <x:v>Pass a 3 m apex gate without touching either cone, then a 3 m exit gate, with no corrections after exit.</x:v>
      </x:c>
      <x:c r="M12" s="24" t="str">
        <x:v>Gate success / 10</x:v>
      </x:c>
      <x:c r="N12" s="24" t="str">
        <x:v>Place paired cones at apex and exit; preserve cone layout.</x:v>
      </x:c>
      <x:c r="O12" s="24" t="str">
        <x:v>https://documentation.beamng.com/official_content/levels/</x:v>
      </x:c>
      <x:c r="P12" s="24" t="str">
        <x:v>https://documentation.beamng.com/official_content/vehicles/hirochi/</x:v>
      </x:c>
      <x:c r="Q12" s="24" t="n">
        <x:f>COUNTIF('Session Log'!$B$5:$B$204,A12)</x:f>
        <x:v>0</x:v>
      </x:c>
      <x:c r="R12" s="24" t="str">
        <x:f>IF(COUNTIFS('Session Log'!$B$5:$B$204,A12,'Session Log'!$H$5:$H$204,"PASS")&gt;0,"MASTERED",IF(Q12&gt;0,"IN PRACTICE","NOT STARTED"))</x:f>
        <x:v>NOT STARTED</x:v>
      </x:c>
    </x:row>
    <x:row r="13" ht="86" customHeight="1">
      <x:c r="A13" s="29" t="str">
        <x:v>B01</x:v>
      </x:c>
      <x:c r="B13" s="24" t="str">
        <x:v>02  GRIP &amp; BRAKING</x:v>
      </x:c>
      <x:c r="C13" s="24" t="str">
        <x:v>Threshold braking</x:v>
      </x:c>
      <x:c r="D13" s="24" t="str">
        <x:v>Core</x:v>
      </x:c>
      <x:c r="E13" s="24" t="str">
        <x:v>Ibishu Covet — 1.5 DX (M), FWD</x:v>
      </x:c>
      <x:c r="F13" s="24" t="str">
        <x:v>Automation Test Track</x:v>
      </x:c>
      <x:c r="G13" s="24" t="str">
        <x:v>Runway: long paved braking straight</x:v>
      </x:c>
      <x:c r="H13" s="24" t="str">
        <x:v>Stationary 150 m before braking line; accelerate to 70 km/h at trigger cone.</x:v>
      </x:c>
      <x:c r="I13" s="24" t="str">
        <x:v>From 70 km/h, brake progressively to the stop zone; adjust brake pressure near grip limit.</x:v>
      </x:c>
      <x:c r="J13" s="37" t="n">
        <x:v>10</x:v>
      </x:c>
      <x:c r="K13" s="37" t="n">
        <x:v>8</x:v>
      </x:c>
      <x:c r="L13" s="24" t="str">
        <x:v>Stop within a 5 m cone zone without sustained lockup or cone contact.</x:v>
      </x:c>
      <x:c r="M13" s="24" t="str">
        <x:v>Successful threshold stops / 10</x:v>
      </x:c>
      <x:c r="N13" s="24" t="str">
        <x:v>Keep any ABS settings unchanged; watch front wheels / brake HUD.</x:v>
      </x:c>
      <x:c r="O13" s="24" t="str">
        <x:v>https://documentation.beamng.com/official_content/levels/</x:v>
      </x:c>
      <x:c r="P13" s="24" t="str">
        <x:v>https://documentation.beamng.com/official_content/vehicles/ibishu/</x:v>
      </x:c>
      <x:c r="Q13" s="24" t="n">
        <x:f>COUNTIF('Session Log'!$B$5:$B$204,A13)</x:f>
        <x:v>0</x:v>
      </x:c>
      <x:c r="R13" s="24" t="str">
        <x:f>IF(COUNTIFS('Session Log'!$B$5:$B$204,A13,'Session Log'!$H$5:$H$204,"PASS")&gt;0,"MASTERED",IF(Q13&gt;0,"IN PRACTICE","NOT STARTED"))</x:f>
        <x:v>NOT STARTED</x:v>
      </x:c>
    </x:row>
    <x:row r="14" ht="86" customHeight="1">
      <x:c r="A14" s="29" t="str">
        <x:v>B02</x:v>
      </x:c>
      <x:c r="B14" s="24" t="str">
        <x:v>02  GRIP &amp; BRAKING</x:v>
      </x:c>
      <x:c r="C14" s="24" t="str">
        <x:v>Wheel lockup recognition and correction</x:v>
      </x:c>
      <x:c r="D14" s="24" t="str">
        <x:v>Core</x:v>
      </x:c>
      <x:c r="E14" s="24" t="str">
        <x:v>Ibishu Covet — 1.5 DX (M), FWD</x:v>
      </x:c>
      <x:c r="F14" s="24" t="str">
        <x:v>Automation Test Track</x:v>
      </x:c>
      <x:c r="G14" s="24" t="str">
        <x:v>Same runway braking zone as B01</x:v>
      </x:c>
      <x:c r="H14" s="24" t="str">
        <x:v>Stationary 150 m upstream; fixed 60 km/h trigger.</x:v>
      </x:c>
      <x:c r="I14" s="24" t="str">
        <x:v>Briefly provoke lockup using heavy braking, release enough to restore rolling grip and stop.</x:v>
      </x:c>
      <x:c r="J14" s="37" t="n">
        <x:v>10</x:v>
      </x:c>
      <x:c r="K14" s="37" t="n">
        <x:v>8</x:v>
      </x:c>
      <x:c r="L14" s="24" t="str">
        <x:v>Recognize/stop locking within ~1 s and recover steering; finish within road width.</x:v>
      </x:c>
      <x:c r="M14" s="24" t="str">
        <x:v>Correct lockup recoveries / 10</x:v>
      </x:c>
      <x:c r="N14" s="24" t="str">
        <x:v>Verify ABS is absent/disabled; if ABS cannot be removed use another non-ABS configuration.</x:v>
      </x:c>
      <x:c r="O14" s="24" t="str">
        <x:v>https://documentation.beamng.com/official_content/levels/</x:v>
      </x:c>
      <x:c r="P14" s="24" t="str">
        <x:v>https://documentation.beamng.com/official_content/vehicles/ibishu/</x:v>
      </x:c>
      <x:c r="Q14" s="24" t="n">
        <x:f>COUNTIF('Session Log'!$B$5:$B$204,A14)</x:f>
        <x:v>0</x:v>
      </x:c>
      <x:c r="R14" s="24" t="str">
        <x:f>IF(COUNTIFS('Session Log'!$B$5:$B$204,A14,'Session Log'!$H$5:$H$204,"PASS")&gt;0,"MASTERED",IF(Q14&gt;0,"IN PRACTICE","NOT STARTED"))</x:f>
        <x:v>NOT STARTED</x:v>
      </x:c>
    </x:row>
    <x:row r="15" ht="86" customHeight="1">
      <x:c r="A15" s="29" t="str">
        <x:v>B03</x:v>
      </x:c>
      <x:c r="B15" s="24" t="str">
        <x:v>02  GRIP &amp; BRAKING</x:v>
      </x:c>
      <x:c r="C15" s="24" t="str">
        <x:v>Stopping-distance estimation</x:v>
      </x:c>
      <x:c r="D15" s="24" t="str">
        <x:v>Core</x:v>
      </x:c>
      <x:c r="E15" s="24" t="str">
        <x:v>Ibishu Covet — 1.5 DX (M), FWD</x:v>
      </x:c>
      <x:c r="F15" s="24" t="str">
        <x:v>Automation Test Track</x:v>
      </x:c>
      <x:c r="G15" s="24" t="str">
        <x:v>Runway paved straight + Rally Track gravel approach</x:v>
      </x:c>
      <x:c r="H15" s="24" t="str">
        <x:v>Set a saved start in each location; use same 50 km/h trigger and same car/tires.</x:v>
      </x:c>
      <x:c r="I15" s="24" t="str">
        <x:v>Before each run, estimate stopping spot, then brake from exactly 50 km/h; six runs per surface.</x:v>
      </x:c>
      <x:c r="J15" s="37" t="n">
        <x:v>12</x:v>
      </x:c>
      <x:c r="K15" s="37" t="n">
        <x:v>9</x:v>
      </x:c>
      <x:c r="L15" s="24" t="str">
        <x:v>Actual bumper stops within 3 m of your predicted stopping marker; no collision.</x:v>
      </x:c>
      <x:c r="M15" s="24" t="str">
        <x:v>Prediction error (metres), by surface</x:v>
      </x:c>
      <x:c r="N15" s="24" t="str">
        <x:v>Record separate pavement/gravel observations; surface runs need two saved positions.</x:v>
      </x:c>
      <x:c r="O15" s="24" t="str">
        <x:v>https://documentation.beamng.com/official_content/levels/</x:v>
      </x:c>
      <x:c r="P15" s="24" t="str">
        <x:v>https://documentation.beamng.com/official_content/vehicles/ibishu/</x:v>
      </x:c>
      <x:c r="Q15" s="24" t="n">
        <x:f>COUNTIF('Session Log'!$B$5:$B$204,A15)</x:f>
        <x:v>0</x:v>
      </x:c>
      <x:c r="R15" s="24" t="str">
        <x:f>IF(COUNTIFS('Session Log'!$B$5:$B$204,A15,'Session Log'!$H$5:$H$204,"PASS")&gt;0,"MASTERED",IF(Q15&gt;0,"IN PRACTICE","NOT STARTED"))</x:f>
        <x:v>NOT STARTED</x:v>
      </x:c>
    </x:row>
    <x:row r="16" ht="86" customHeight="1">
      <x:c r="A16" s="29" t="str">
        <x:v>B04</x:v>
      </x:c>
      <x:c r="B16" s="24" t="str">
        <x:v>02  GRIP &amp; BRAKING</x:v>
      </x:c>
      <x:c r="C16" s="24" t="str">
        <x:v>Trail braking</x:v>
      </x:c>
      <x:c r="D16" s="24" t="str">
        <x:v>Core</x:v>
      </x:c>
      <x:c r="E16" s="24" t="str">
        <x:v>Hirochi Sunburst — NGRC2 Asphalt Rally (M), AWD</x:v>
      </x:c>
      <x:c r="F16" s="24" t="str">
        <x:v>Automation Test Track</x:v>
      </x:c>
      <x:c r="G16" s="24" t="str">
        <x:v>Handling Circuit: medium-radius turn with safe runoff</x:v>
      </x:c>
      <x:c r="H16" s="24" t="str">
        <x:v>Stationary 75 m before chosen corner; brake marker unchanged.</x:v>
      </x:c>
      <x:c r="I16" s="24" t="str">
        <x:v>Begin braking on approach and ease pressure off progressively while steering toward apex.</x:v>
      </x:c>
      <x:c r="J16" s="37" t="n">
        <x:v>10</x:v>
      </x:c>
      <x:c r="K16" s="37" t="n">
        <x:v>8</x:v>
      </x:c>
      <x:c r="L16" s="24" t="str">
        <x:v>Brake fully released by apex, no sustained lock, all four wheels on roadway and clean exit.</x:v>
      </x:c>
      <x:c r="M16" s="24" t="str">
        <x:v>Successful trail-braking corners / 10</x:v>
      </x:c>
      <x:c r="N16" s="24" t="str">
        <x:v>Choose safe low/medium-speed corner first; use brake input HUD.</x:v>
      </x:c>
      <x:c r="O16" s="24" t="str">
        <x:v>https://documentation.beamng.com/official_content/levels/</x:v>
      </x:c>
      <x:c r="P16" s="24" t="str">
        <x:v>https://documentation.beamng.com/official_content/vehicles/hirochi/</x:v>
      </x:c>
      <x:c r="Q16" s="24" t="n">
        <x:f>COUNTIF('Session Log'!$B$5:$B$204,A16)</x:f>
        <x:v>0</x:v>
      </x:c>
      <x:c r="R16" s="24" t="str">
        <x:f>IF(COUNTIFS('Session Log'!$B$5:$B$204,A16,'Session Log'!$H$5:$H$204,"PASS")&gt;0,"MASTERED",IF(Q16&gt;0,"IN PRACTICE","NOT STARTED"))</x:f>
        <x:v>NOT STARTED</x:v>
      </x:c>
    </x:row>
    <x:row r="17" ht="86" customHeight="1">
      <x:c r="A17" s="29" t="str">
        <x:v>B05</x:v>
      </x:c>
      <x:c r="B17" s="24" t="str">
        <x:v>02  GRIP &amp; BRAKING</x:v>
      </x:c>
      <x:c r="C17" s="24" t="str">
        <x:v>Left-foot braking</x:v>
      </x:c>
      <x:c r="D17" s="24" t="str">
        <x:v>Core</x:v>
      </x:c>
      <x:c r="E17" s="24" t="str">
        <x:v>Hirochi Sunburst — 1.6 Base FWD (M)</x:v>
      </x:c>
      <x:c r="F17" s="24" t="str">
        <x:v>ETK Driver Experience Center</x:v>
      </x:c>
      <x:c r="G17" s="24" t="str">
        <x:v>East skidpad: broad semicircle around marker cones</x:v>
      </x:c>
      <x:c r="H17" s="24" t="str">
        <x:v>Stationary 50 m before semicircle; approach 30 km/h.</x:v>
      </x:c>
      <x:c r="I17" s="24" t="str">
        <x:v>With right foot steady on light throttle, apply short left-foot brake pressure to adjust rotation.</x:v>
      </x:c>
      <x:c r="J17" s="37" t="n">
        <x:v>10</x:v>
      </x:c>
      <x:c r="K17" s="37" t="n">
        <x:v>8</x:v>
      </x:c>
      <x:c r="L17" s="24" t="str">
        <x:v>Track the intended circle without hitting markers, spinning or stopping throttle entirely.</x:v>
      </x:c>
      <x:c r="M17" s="24" t="str">
        <x:v>Clean brake-assisted arcs / 10</x:v>
      </x:c>
      <x:c r="N17" s="24" t="str">
        <x:v>Maintain same initial speed; pedal overlay recommended.</x:v>
      </x:c>
      <x:c r="O17" s="24" t="str">
        <x:v>https://documentation.beamng.com/official_content/levels/</x:v>
      </x:c>
      <x:c r="P17" s="24" t="str">
        <x:v>https://documentation.beamng.com/official_content/vehicles/hirochi/</x:v>
      </x:c>
      <x:c r="Q17" s="24" t="n">
        <x:f>COUNTIF('Session Log'!$B$5:$B$204,A17)</x:f>
        <x:v>0</x:v>
      </x:c>
      <x:c r="R17" s="24" t="str">
        <x:f>IF(COUNTIFS('Session Log'!$B$5:$B$204,A17,'Session Log'!$H$5:$H$204,"PASS")&gt;0,"MASTERED",IF(Q17&gt;0,"IN PRACTICE","NOT STARTED"))</x:f>
        <x:v>NOT STARTED</x:v>
      </x:c>
    </x:row>
    <x:row r="18" ht="86" customHeight="1">
      <x:c r="A18" s="29" t="str">
        <x:v>B06</x:v>
      </x:c>
      <x:c r="B18" s="24" t="str">
        <x:v>02  GRIP &amp; BRAKING</x:v>
      </x:c>
      <x:c r="C18" s="24" t="str">
        <x:v>Understeer recognition and correction</x:v>
      </x:c>
      <x:c r="D18" s="24" t="str">
        <x:v>Core</x:v>
      </x:c>
      <x:c r="E18" s="24" t="str">
        <x:v>Hirochi Sunburst — 1.6 Base FWD (M)</x:v>
      </x:c>
      <x:c r="F18" s="24" t="str">
        <x:v>ETK Driver Experience Center</x:v>
      </x:c>
      <x:c r="G18" s="24" t="str">
        <x:v>East skidpad: marked 15–20 m radius circle</x:v>
      </x:c>
      <x:c r="H18" s="24" t="str">
        <x:v>Stationary 40 m before circle; approach at repeatable 35 km/h.</x:v>
      </x:c>
      <x:c r="I18" s="24" t="str">
        <x:v>Enter too fast to create safe, mild understeer; reduce speed/steering demand to regain front grip.</x:v>
      </x:c>
      <x:c r="J18" s="37" t="n">
        <x:v>10</x:v>
      </x:c>
      <x:c r="K18" s="37" t="n">
        <x:v>8</x:v>
      </x:c>
      <x:c r="L18" s="24" t="str">
        <x:v>Front regains intended arc before second exit cone; no loss of control or obstacle contact.</x:v>
      </x:c>
      <x:c r="M18" s="24" t="str">
        <x:v>Understeer recoveries / 10</x:v>
      </x:c>
      <x:c r="N18" s="24" t="str">
        <x:v>Start with large runoff; do not deliberately induce at roadside cliff.</x:v>
      </x:c>
      <x:c r="O18" s="24" t="str">
        <x:v>https://documentation.beamng.com/official_content/levels/</x:v>
      </x:c>
      <x:c r="P18" s="24" t="str">
        <x:v>https://documentation.beamng.com/official_content/vehicles/hirochi/</x:v>
      </x:c>
      <x:c r="Q18" s="24" t="n">
        <x:f>COUNTIF('Session Log'!$B$5:$B$204,A18)</x:f>
        <x:v>0</x:v>
      </x:c>
      <x:c r="R18" s="24" t="str">
        <x:f>IF(COUNTIFS('Session Log'!$B$5:$B$204,A18,'Session Log'!$H$5:$H$204,"PASS")&gt;0,"MASTERED",IF(Q18&gt;0,"IN PRACTICE","NOT STARTED"))</x:f>
        <x:v>NOT STARTED</x:v>
      </x:c>
    </x:row>
    <x:row r="19" ht="86" customHeight="1">
      <x:c r="A19" s="29" t="str">
        <x:v>B07</x:v>
      </x:c>
      <x:c r="B19" s="24" t="str">
        <x:v>02  GRIP &amp; BRAKING</x:v>
      </x:c>
      <x:c r="C19" s="24" t="str">
        <x:v>Oversteer recognition and correction</x:v>
      </x:c>
      <x:c r="D19" s="24" t="str">
        <x:v>Core</x:v>
      </x:c>
      <x:c r="E19" s="24" t="str">
        <x:v>Ibishu BX-Series — 200BX Type-LS (M), RWD</x:v>
      </x:c>
      <x:c r="F19" s="24" t="str">
        <x:v>ETK Driver Experience Center</x:v>
      </x:c>
      <x:c r="G19" s="24" t="str">
        <x:v>East skidpad: large clear arc</x:v>
      </x:c>
      <x:c r="H19" s="24" t="str">
        <x:v>Stationary 40 m before arc; target 25–35 km/h.</x:v>
      </x:c>
      <x:c r="I19" s="24" t="str">
        <x:v>Use a modest throttle pulse to rotate rear, then countersteer and settle the car.</x:v>
      </x:c>
      <x:c r="J19" s="37" t="n">
        <x:v>10</x:v>
      </x:c>
      <x:c r="K19" s="37" t="n">
        <x:v>8</x:v>
      </x:c>
      <x:c r="L19" s="24" t="str">
        <x:v>No full spin; car aligned with marked exit lane and countersteer unwound before lane end.</x:v>
      </x:c>
      <x:c r="M19" s="24" t="str">
        <x:v>Correctly caught slides / 10</x:v>
      </x:c>
      <x:c r="N19" s="24" t="str">
        <x:v>Rear-drive street car; begin at low speed. Disable ESC only if you document the setting.</x:v>
      </x:c>
      <x:c r="O19" s="24" t="str">
        <x:v>https://documentation.beamng.com/official_content/levels/</x:v>
      </x:c>
      <x:c r="P19" s="24" t="str">
        <x:v>https://documentation.beamng.com/official_content/vehicles/ibishu/</x:v>
      </x:c>
      <x:c r="Q19" s="24" t="n">
        <x:f>COUNTIF('Session Log'!$B$5:$B$204,A19)</x:f>
        <x:v>0</x:v>
      </x:c>
      <x:c r="R19" s="24" t="str">
        <x:f>IF(COUNTIFS('Session Log'!$B$5:$B$204,A19,'Session Log'!$H$5:$H$204,"PASS")&gt;0,"MASTERED",IF(Q19&gt;0,"IN PRACTICE","NOT STARTED"))</x:f>
        <x:v>NOT STARTED</x:v>
      </x:c>
    </x:row>
    <x:row r="20" ht="86" customHeight="1">
      <x:c r="A20" s="29" t="str">
        <x:v>B08</x:v>
      </x:c>
      <x:c r="B20" s="24" t="str">
        <x:v>02  GRIP &amp; BRAKING</x:v>
      </x:c>
      <x:c r="C20" s="24" t="str">
        <x:v>Longitudinal weight transfer</x:v>
      </x:c>
      <x:c r="D20" s="24" t="str">
        <x:v>Core</x:v>
      </x:c>
      <x:c r="E20" s="24" t="str">
        <x:v>Hirochi Sunburst — NGRC2 Gravel Rally (M), AWD</x:v>
      </x:c>
      <x:c r="F20" s="24" t="str">
        <x:v>Automation Test Track</x:v>
      </x:c>
      <x:c r="G20" s="24" t="str">
        <x:v>Rally Track: broad gravel bend</x:v>
      </x:c>
      <x:c r="H20" s="24" t="str">
        <x:v>Stationary 60 m before gravel turn, same approach speed.</x:v>
      </x:c>
      <x:c r="I20" s="24" t="str">
        <x:v>Do 4 lift-only, 4 light-brake and 4 neutral-entry runs; compare rotation and exit line.</x:v>
      </x:c>
      <x:c r="J20" s="37" t="n">
        <x:v>12</x:v>
      </x:c>
      <x:c r="K20" s="37" t="n">
        <x:v>9</x:v>
      </x:c>
      <x:c r="L20" s="24" t="str">
        <x:v>Complete entry and exit without cone strike/spin; identify which input increased front bite.</x:v>
      </x:c>
      <x:c r="M20" s="24" t="str">
        <x:v>Clean runs and rotation observation</x:v>
      </x:c>
      <x:c r="N20" s="24" t="str">
        <x:v>Keep steering entry point identical; compare only input timing.</x:v>
      </x:c>
      <x:c r="O20" s="24" t="str">
        <x:v>https://documentation.beamng.com/official_content/levels/</x:v>
      </x:c>
      <x:c r="P20" s="24" t="str">
        <x:v>https://documentation.beamng.com/official_content/vehicles/hirochi/</x:v>
      </x:c>
      <x:c r="Q20" s="24" t="n">
        <x:f>COUNTIF('Session Log'!$B$5:$B$204,A20)</x:f>
        <x:v>0</x:v>
      </x:c>
      <x:c r="R20" s="24" t="str">
        <x:f>IF(COUNTIFS('Session Log'!$B$5:$B$204,A20,'Session Log'!$H$5:$H$204,"PASS")&gt;0,"MASTERED",IF(Q20&gt;0,"IN PRACTICE","NOT STARTED"))</x:f>
        <x:v>NOT STARTED</x:v>
      </x:c>
    </x:row>
    <x:row r="21" ht="86" customHeight="1">
      <x:c r="A21" s="29" t="str">
        <x:v>C01</x:v>
      </x:c>
      <x:c r="B21" s="24" t="str">
        <x:v>03  ROTATION &amp; SLIDES</x:v>
      </x:c>
      <x:c r="C21" s="24" t="str">
        <x:v>Lift-off oversteer</x:v>
      </x:c>
      <x:c r="D21" s="24" t="str">
        <x:v>Core</x:v>
      </x:c>
      <x:c r="E21" s="24" t="str">
        <x:v>Hirochi Sunburst — 1.6 Base FWD (M)</x:v>
      </x:c>
      <x:c r="F21" s="24" t="str">
        <x:v>Automation Test Track</x:v>
      </x:c>
      <x:c r="G21" s="24" t="str">
        <x:v>Handling Circuit: safe paved sweeper</x:v>
      </x:c>
      <x:c r="H21" s="24" t="str">
        <x:v>Stationary 70 m before sweeper; fixed 40 km/h entry.</x:v>
      </x:c>
      <x:c r="I21" s="24" t="str">
        <x:v>Approach under light throttle, lift just before turn-in to rotate, then stabilize smoothly.</x:v>
      </x:c>
      <x:c r="J21" s="37" t="n">
        <x:v>10</x:v>
      </x:c>
      <x:c r="K21" s="37" t="n">
        <x:v>8</x:v>
      </x:c>
      <x:c r="L21" s="24" t="str">
        <x:v>Observable small rotation without handbrake; no spin or pavement departure.</x:v>
      </x:c>
      <x:c r="M21" s="24" t="str">
        <x:v>Controlled lift-rotation attempts / 10</x:v>
      </x:c>
      <x:c r="N21" s="24" t="str">
        <x:v>If the chosen FWD setup barely rotates, use slightly higher safe entry speed, then fix it.</x:v>
      </x:c>
      <x:c r="O21" s="24" t="str">
        <x:v>https://documentation.beamng.com/official_content/levels/</x:v>
      </x:c>
      <x:c r="P21" s="24" t="str">
        <x:v>https://documentation.beamng.com/official_content/vehicles/hirochi/</x:v>
      </x:c>
      <x:c r="Q21" s="24" t="n">
        <x:f>COUNTIF('Session Log'!$B$5:$B$204,A21)</x:f>
        <x:v>0</x:v>
      </x:c>
      <x:c r="R21" s="24" t="str">
        <x:f>IF(COUNTIFS('Session Log'!$B$5:$B$204,A21,'Session Log'!$H$5:$H$204,"PASS")&gt;0,"MASTERED",IF(Q21&gt;0,"IN PRACTICE","NOT STARTED"))</x:f>
        <x:v>NOT STARTED</x:v>
      </x:c>
    </x:row>
    <x:row r="22" ht="86" customHeight="1">
      <x:c r="A22" s="29" t="str">
        <x:v>C02</x:v>
      </x:c>
      <x:c r="B22" s="24" t="str">
        <x:v>03  ROTATION &amp; SLIDES</x:v>
      </x:c>
      <x:c r="C22" s="24" t="str">
        <x:v>Brake-induced rotation</x:v>
      </x:c>
      <x:c r="D22" s="24" t="str">
        <x:v>Core</x:v>
      </x:c>
      <x:c r="E22" s="24" t="str">
        <x:v>Hirochi Sunburst — NGRC2 Gravel Rally (M), AWD</x:v>
      </x:c>
      <x:c r="F22" s="24" t="str">
        <x:v>Automation Test Track</x:v>
      </x:c>
      <x:c r="G22" s="24" t="str">
        <x:v>Rally Track: open gravel 90-degree corner</x:v>
      </x:c>
      <x:c r="H22" s="24" t="str">
        <x:v>Stationary 60 m before turn; fixed brake cone.</x:v>
      </x:c>
      <x:c r="I22" s="24" t="str">
        <x:v>Initiate mild turn-in then apply a short controlled brake pulse for rotation.</x:v>
      </x:c>
      <x:c r="J22" s="37" t="n">
        <x:v>10</x:v>
      </x:c>
      <x:c r="K22" s="37" t="n">
        <x:v>8</x:v>
      </x:c>
      <x:c r="L22" s="24" t="str">
        <x:v>Rotate into corner without handbrake or full spin; clean exit between two cones.</x:v>
      </x:c>
      <x:c r="M22" s="24" t="str">
        <x:v>Successful brake-rotation attempts</x:v>
      </x:c>
      <x:c r="N22" s="24" t="str">
        <x:v>Brake pulse duration adjustable; throttle steady after release.</x:v>
      </x:c>
      <x:c r="O22" s="24" t="str">
        <x:v>https://documentation.beamng.com/official_content/levels/</x:v>
      </x:c>
      <x:c r="P22" s="24" t="str">
        <x:v>https://documentation.beamng.com/official_content/vehicles/hirochi/</x:v>
      </x:c>
      <x:c r="Q22" s="24" t="n">
        <x:f>COUNTIF('Session Log'!$B$5:$B$204,A22)</x:f>
        <x:v>0</x:v>
      </x:c>
      <x:c r="R22" s="24" t="str">
        <x:f>IF(COUNTIFS('Session Log'!$B$5:$B$204,A22,'Session Log'!$H$5:$H$204,"PASS")&gt;0,"MASTERED",IF(Q22&gt;0,"IN PRACTICE","NOT STARTED"))</x:f>
        <x:v>NOT STARTED</x:v>
      </x:c>
    </x:row>
    <x:row r="23" ht="86" customHeight="1">
      <x:c r="A23" s="29" t="str">
        <x:v>C03</x:v>
      </x:c>
      <x:c r="B23" s="24" t="str">
        <x:v>03  ROTATION &amp; SLIDES</x:v>
      </x:c>
      <x:c r="C23" s="24" t="str">
        <x:v>Throttle-induced oversteer</x:v>
      </x:c>
      <x:c r="D23" s="24" t="str">
        <x:v>Core</x:v>
      </x:c>
      <x:c r="E23" s="24" t="str">
        <x:v>Ibishu BX-Series — 200BX Type-LS (M), RWD</x:v>
      </x:c>
      <x:c r="F23" s="24" t="str">
        <x:v>ETK Driver Experience Center</x:v>
      </x:c>
      <x:c r="G23" s="24" t="str">
        <x:v>Eastern skidpad: large painted circle</x:v>
      </x:c>
      <x:c r="H23" s="24" t="str">
        <x:v>Stationary 40 m before 20 m radius circle; low gear.</x:v>
      </x:c>
      <x:c r="I23" s="24" t="str">
        <x:v>Use small power pulses to provoke rear slip while turning; then reduce power to regain balance.</x:v>
      </x:c>
      <x:c r="J23" s="37" t="n">
        <x:v>10</x:v>
      </x:c>
      <x:c r="K23" s="37" t="n">
        <x:v>8</x:v>
      </x:c>
      <x:c r="L23" s="24" t="str">
        <x:v>Rear breaks traction briefly and is caught; no spin, opposite lock held &lt;3 s.</x:v>
      </x:c>
      <x:c r="M23" s="24" t="str">
        <x:v>Caught power slides / 10</x:v>
      </x:c>
      <x:c r="N23" s="24" t="str">
        <x:v>Use wide runoff; avoid measuring drifting angle without sensors.</x:v>
      </x:c>
      <x:c r="O23" s="24" t="str">
        <x:v>https://documentation.beamng.com/official_content/levels/</x:v>
      </x:c>
      <x:c r="P23" s="24" t="str">
        <x:v>https://documentation.beamng.com/official_content/vehicles/ibishu/</x:v>
      </x:c>
      <x:c r="Q23" s="24" t="n">
        <x:f>COUNTIF('Session Log'!$B$5:$B$204,A23)</x:f>
        <x:v>0</x:v>
      </x:c>
      <x:c r="R23" s="24" t="str">
        <x:f>IF(COUNTIFS('Session Log'!$B$5:$B$204,A23,'Session Log'!$H$5:$H$204,"PASS")&gt;0,"MASTERED",IF(Q23&gt;0,"IN PRACTICE","NOT STARTED"))</x:f>
        <x:v>NOT STARTED</x:v>
      </x:c>
    </x:row>
    <x:row r="24" ht="86" customHeight="1">
      <x:c r="A24" s="29" t="str">
        <x:v>C04</x:v>
      </x:c>
      <x:c r="B24" s="24" t="str">
        <x:v>03  ROTATION &amp; SLIDES</x:v>
      </x:c>
      <x:c r="C24" s="24" t="str">
        <x:v>Handbrake rotation</x:v>
      </x:c>
      <x:c r="D24" s="24" t="str">
        <x:v>Core</x:v>
      </x:c>
      <x:c r="E24" s="24" t="str">
        <x:v>Hirochi Sunburst — NGRC2 Gravel Rally (M), AWD</x:v>
      </x:c>
      <x:c r="F24" s="24" t="str">
        <x:v>Utah, USA</x:v>
      </x:c>
      <x:c r="G24" s="24" t="str">
        <x:v>Gravel hairpin on accessible canyon road</x:v>
      </x:c>
      <x:c r="H24" s="24" t="str">
        <x:v>Stationary 70 m before 160–180° gravel bend; face uphill/downhill as chosen.</x:v>
      </x:c>
      <x:c r="I24" s="24" t="str">
        <x:v>Brake before entry, briefly apply handbrake to rotate, release, and drive through exit gate.</x:v>
      </x:c>
      <x:c r="J24" s="37" t="n">
        <x:v>10</x:v>
      </x:c>
      <x:c r="K24" s="37" t="n">
        <x:v>8</x:v>
      </x:c>
      <x:c r="L24" s="24" t="str">
        <x:v>Make hairpin within road edges; one handbrake application; no stall, spin or barrier touch.</x:v>
      </x:c>
      <x:c r="M24" s="24" t="str">
        <x:v>Clean hairpin rotations / 10</x:v>
      </x:c>
      <x:c r="N24" s="24" t="str">
        <x:v>Select one broad, safe hairpin; preserve same approach speed.</x:v>
      </x:c>
      <x:c r="O24" s="24" t="str">
        <x:v>https://www.beamng.com/game/news/patch/beamng-drive-v0-39/</x:v>
      </x:c>
      <x:c r="P24" s="24" t="str">
        <x:v>https://documentation.beamng.com/official_content/vehicles/hirochi/</x:v>
      </x:c>
      <x:c r="Q24" s="24" t="n">
        <x:f>COUNTIF('Session Log'!$B$5:$B$204,A24)</x:f>
        <x:v>0</x:v>
      </x:c>
      <x:c r="R24" s="24" t="str">
        <x:f>IF(COUNTIFS('Session Log'!$B$5:$B$204,A24,'Session Log'!$H$5:$H$204,"PASS")&gt;0,"MASTERED",IF(Q24&gt;0,"IN PRACTICE","NOT STARTED"))</x:f>
        <x:v>NOT STARTED</x:v>
      </x:c>
    </x:row>
    <x:row r="25" ht="86" customHeight="1">
      <x:c r="A25" s="29" t="str">
        <x:v>C05</x:v>
      </x:c>
      <x:c r="B25" s="24" t="str">
        <x:v>03  ROTATION &amp; SLIDES</x:v>
      </x:c>
      <x:c r="C25" s="24" t="str">
        <x:v>Countersteering and recovery</x:v>
      </x:c>
      <x:c r="D25" s="24" t="str">
        <x:v>Core</x:v>
      </x:c>
      <x:c r="E25" s="24" t="str">
        <x:v>Ibishu BX-Series — 200BX Type-LS (M), RWD</x:v>
      </x:c>
      <x:c r="F25" s="24" t="str">
        <x:v>ETK Driver Experience Center</x:v>
      </x:c>
      <x:c r="G25" s="24" t="str">
        <x:v>Eastern skidpad: large open arc</x:v>
      </x:c>
      <x:c r="H25" s="24" t="str">
        <x:v>Stationary 50 m before arc, identical 30 km/h entry.</x:v>
      </x:c>
      <x:c r="I25" s="24" t="str">
        <x:v>Deliberately create mild rear-wheel slide, steer into slide, then unwind to straight exit.</x:v>
      </x:c>
      <x:c r="J25" s="37" t="n">
        <x:v>10</x:v>
      </x:c>
      <x:c r="K25" s="37" t="n">
        <x:v>8</x:v>
      </x:c>
      <x:c r="L25" s="24" t="str">
        <x:v>No spin, opposite lock unwound by exit marker, final trajectory inside 3 m exit lane.</x:v>
      </x:c>
      <x:c r="M25" s="24" t="str">
        <x:v>Recovered slides / 10</x:v>
      </x:c>
      <x:c r="N25" s="24" t="str">
        <x:v>Replay steering input if uncertain; count only obvious rear slips.</x:v>
      </x:c>
      <x:c r="O25" s="24" t="str">
        <x:v>https://documentation.beamng.com/official_content/levels/</x:v>
      </x:c>
      <x:c r="P25" s="24" t="str">
        <x:v>https://documentation.beamng.com/official_content/vehicles/ibishu/</x:v>
      </x:c>
      <x:c r="Q25" s="24" t="n">
        <x:f>COUNTIF('Session Log'!$B$5:$B$204,A25)</x:f>
        <x:v>0</x:v>
      </x:c>
      <x:c r="R25" s="24" t="str">
        <x:f>IF(COUNTIFS('Session Log'!$B$5:$B$204,A25,'Session Log'!$H$5:$H$204,"PASS")&gt;0,"MASTERED",IF(Q25&gt;0,"IN PRACTICE","NOT STARTED"))</x:f>
        <x:v>NOT STARTED</x:v>
      </x:c>
    </x:row>
    <x:row r="26" ht="86" customHeight="1">
      <x:c r="A26" s="29" t="str">
        <x:v>C06</x:v>
      </x:c>
      <x:c r="B26" s="24" t="str">
        <x:v>03  ROTATION &amp; SLIDES</x:v>
      </x:c>
      <x:c r="C26" s="24" t="str">
        <x:v>Maintaining a controlled slip angle</x:v>
      </x:c>
      <x:c r="D26" s="24" t="str">
        <x:v>Core</x:v>
      </x:c>
      <x:c r="E26" s="24" t="str">
        <x:v>Hirochi Sunburst — NGRC2 Gravel Rally (M), AWD</x:v>
      </x:c>
      <x:c r="F26" s="24" t="str">
        <x:v>Automation Test Track</x:v>
      </x:c>
      <x:c r="G26" s="24" t="str">
        <x:v>Rally Track: steady gravel sweeper</x:v>
      </x:c>
      <x:c r="H26" s="24" t="str">
        <x:v>Stationary 70 m before sweeper; fixed 40–50 km/h entry band.</x:v>
      </x:c>
      <x:c r="I26" s="24" t="str">
        <x:v>Initiate moderate slide before apex; balance throttle/countersteer through a marked 20 m arc.</x:v>
      </x:c>
      <x:c r="J26" s="37" t="n">
        <x:v>10</x:v>
      </x:c>
      <x:c r="K26" s="37" t="n">
        <x:v>8</x:v>
      </x:c>
      <x:c r="L26" s="24" t="str">
        <x:v>Continuous visible controlled rotation through arc, no spin or four-wheel off-course.</x:v>
      </x:c>
      <x:c r="M26" s="24" t="str">
        <x:v>Maintained-slide passes / 10</x:v>
      </x:c>
      <x:c r="N26" s="24" t="str">
        <x:v>Use side camera replay to judge duration; no need exact angle telemetry.</x:v>
      </x:c>
      <x:c r="O26" s="24" t="str">
        <x:v>https://documentation.beamng.com/official_content/levels/</x:v>
      </x:c>
      <x:c r="P26" s="24" t="str">
        <x:v>https://documentation.beamng.com/official_content/vehicles/hirochi/</x:v>
      </x:c>
      <x:c r="Q26" s="24" t="n">
        <x:f>COUNTIF('Session Log'!$B$5:$B$204,A26)</x:f>
        <x:v>0</x:v>
      </x:c>
      <x:c r="R26" s="24" t="str">
        <x:f>IF(COUNTIFS('Session Log'!$B$5:$B$204,A26,'Session Log'!$H$5:$H$204,"PASS")&gt;0,"MASTERED",IF(Q26&gt;0,"IN PRACTICE","NOT STARTED"))</x:f>
        <x:v>NOT STARTED</x:v>
      </x:c>
    </x:row>
    <x:row r="27" ht="86" customHeight="1">
      <x:c r="A27" s="29" t="str">
        <x:v>C07</x:v>
      </x:c>
      <x:c r="B27" s="24" t="str">
        <x:v>03  ROTATION &amp; SLIDES</x:v>
      </x:c>
      <x:c r="C27" s="24" t="str">
        <x:v>Lateral weight transfer</x:v>
      </x:c>
      <x:c r="D27" s="24" t="str">
        <x:v>Core</x:v>
      </x:c>
      <x:c r="E27" s="24" t="str">
        <x:v>Hirochi Sunburst — 1.6 Base FWD (M)</x:v>
      </x:c>
      <x:c r="F27" s="24" t="str">
        <x:v>ETK Driver Experience Center</x:v>
      </x:c>
      <x:c r="G27" s="24" t="str">
        <x:v>Skidpad: figure-eight around two cones 20 m apart</x:v>
      </x:c>
      <x:c r="H27" s="24" t="str">
        <x:v>Stationary 25 m before first cone, centered on approach.</x:v>
      </x:c>
      <x:c r="I27" s="24" t="str">
        <x:v>Steer figure-eight alternating left/right; use lift/brake timing to manage direction change.</x:v>
      </x:c>
      <x:c r="J27" s="37" t="n">
        <x:v>10</x:v>
      </x:c>
      <x:c r="K27" s="37" t="n">
        <x:v>8</x:v>
      </x:c>
      <x:c r="L27" s="24" t="str">
        <x:v>Complete both lobes cleanly; no cone contact, spin or abrupt stop.</x:v>
      </x:c>
      <x:c r="M27" s="24" t="str">
        <x:v>Clean figure-eight sequences / 10</x:v>
      </x:c>
      <x:c r="N27" s="24" t="str">
        <x:v>Keep marker spacing identical; test one full figure-eight per attempt.</x:v>
      </x:c>
      <x:c r="O27" s="24" t="str">
        <x:v>https://documentation.beamng.com/official_content/levels/</x:v>
      </x:c>
      <x:c r="P27" s="24" t="str">
        <x:v>https://documentation.beamng.com/official_content/vehicles/hirochi/</x:v>
      </x:c>
      <x:c r="Q27" s="24" t="n">
        <x:f>COUNTIF('Session Log'!$B$5:$B$204,A27)</x:f>
        <x:v>0</x:v>
      </x:c>
      <x:c r="R27" s="24" t="str">
        <x:f>IF(COUNTIFS('Session Log'!$B$5:$B$204,A27,'Session Log'!$H$5:$H$204,"PASS")&gt;0,"MASTERED",IF(Q27&gt;0,"IN PRACTICE","NOT STARTED"))</x:f>
        <x:v>NOT STARTED</x:v>
      </x:c>
    </x:row>
    <x:row r="28" ht="86" customHeight="1">
      <x:c r="A28" s="29" t="str">
        <x:v>C08</x:v>
      </x:c>
      <x:c r="B28" s="24" t="str">
        <x:v>03  ROTATION &amp; SLIDES</x:v>
      </x:c>
      <x:c r="C28" s="24" t="str">
        <x:v>Scandinavian flicks</x:v>
      </x:c>
      <x:c r="D28" s="24" t="str">
        <x:v>Core</x:v>
      </x:c>
      <x:c r="E28" s="24" t="str">
        <x:v>Hirochi Sunburst — NGRC2 Gravel Rally (M), AWD</x:v>
      </x:c>
      <x:c r="F28" s="24" t="str">
        <x:v>Utah, USA</x:v>
      </x:c>
      <x:c r="G28" s="24" t="str">
        <x:v>Wide gravel hairpin with clear outside runoff</x:v>
      </x:c>
      <x:c r="H28" s="24" t="str">
        <x:v>Stationary 100 m before hairpin, same approach lane.</x:v>
      </x:c>
      <x:c r="I28" s="24" t="str">
        <x:v>Briefly steer away from turn, reverse steering to build rotation, catch slide without handbrake.</x:v>
      </x:c>
      <x:c r="J28" s="37" t="n">
        <x:v>10</x:v>
      </x:c>
      <x:c r="K28" s="37" t="n">
        <x:v>8</x:v>
      </x:c>
      <x:c r="L28" s="24" t="str">
        <x:v>Correct-direction rotation followed by clean exit; no handbrake, spin or road-edge contact.</x:v>
      </x:c>
      <x:c r="M28" s="24" t="str">
        <x:v>Successful flicks / 10</x:v>
      </x:c>
      <x:c r="N28" s="24" t="str">
        <x:v>Start around 35–45 km/h; only increase after 8/10 passes.</x:v>
      </x:c>
      <x:c r="O28" s="24" t="str">
        <x:v>https://www.beamng.com/game/news/patch/beamng-drive-v0-39/</x:v>
      </x:c>
      <x:c r="P28" s="24" t="str">
        <x:v>https://documentation.beamng.com/official_content/vehicles/hirochi/</x:v>
      </x:c>
      <x:c r="Q28" s="24" t="n">
        <x:f>COUNTIF('Session Log'!$B$5:$B$204,A28)</x:f>
        <x:v>0</x:v>
      </x:c>
      <x:c r="R28" s="24" t="str">
        <x:f>IF(COUNTIFS('Session Log'!$B$5:$B$204,A28,'Session Log'!$H$5:$H$204,"PASS")&gt;0,"MASTERED",IF(Q28&gt;0,"IN PRACTICE","NOT STARTED"))</x:f>
        <x:v>NOT STARTED</x:v>
      </x:c>
    </x:row>
    <x:row r="29" ht="86" customHeight="1">
      <x:c r="A29" s="29" t="str">
        <x:v>D01</x:v>
      </x:c>
      <x:c r="B29" s="24" t="str">
        <x:v>04  COMPLEX CORNERING</x:v>
      </x:c>
      <x:c r="C29" s="24" t="str">
        <x:v>Slaloms and rapid transitions</x:v>
      </x:c>
      <x:c r="D29" s="24" t="str">
        <x:v>Core</x:v>
      </x:c>
      <x:c r="E29" s="24" t="str">
        <x:v>Hirochi Sunburst — 1.6 Base FWD (M)</x:v>
      </x:c>
      <x:c r="F29" s="24" t="str">
        <x:v>ETK Driver Experience Center</x:v>
      </x:c>
      <x:c r="G29" s="24" t="str">
        <x:v>Eastern skidpad: six-cone slalom, 12 m cone spacing</x:v>
      </x:c>
      <x:c r="H29" s="24" t="str">
        <x:v>Stationary 30 m before first cone; wheel centered.</x:v>
      </x:c>
      <x:c r="I29" s="24" t="str">
        <x:v>Weave alternating around all six cones while maintaining smooth steering and continuous motion.</x:v>
      </x:c>
      <x:c r="J29" s="37" t="n">
        <x:v>10</x:v>
      </x:c>
      <x:c r="K29" s="37" t="n">
        <x:v>8</x:v>
      </x:c>
      <x:c r="L29" s="24" t="str">
        <x:v>No cone contact, no spin; minimum 25 km/h through final gate.</x:v>
      </x:c>
      <x:c r="M29" s="24" t="str">
        <x:v>Clean slaloms / 10, exit speed</x:v>
      </x:c>
      <x:c r="N29" s="24" t="str">
        <x:v>Cones spaced approx. 12 m; record exact positions in screenshot.</x:v>
      </x:c>
      <x:c r="O29" s="24" t="str">
        <x:v>https://documentation.beamng.com/official_content/levels/</x:v>
      </x:c>
      <x:c r="P29" s="24" t="str">
        <x:v>https://documentation.beamng.com/official_content/vehicles/hirochi/</x:v>
      </x:c>
      <x:c r="Q29" s="24" t="n">
        <x:f>COUNTIF('Session Log'!$B$5:$B$204,A29)</x:f>
        <x:v>0</x:v>
      </x:c>
      <x:c r="R29" s="24" t="str">
        <x:f>IF(COUNTIFS('Session Log'!$B$5:$B$204,A29,'Session Log'!$H$5:$H$204,"PASS")&gt;0,"MASTERED",IF(Q29&gt;0,"IN PRACTICE","NOT STARTED"))</x:f>
        <x:v>NOT STARTED</x:v>
      </x:c>
    </x:row>
    <x:row r="30" ht="86" customHeight="1">
      <x:c r="A30" s="29" t="str">
        <x:v>D02</x:v>
      </x:c>
      <x:c r="B30" s="24" t="str">
        <x:v>04  COMPLEX CORNERING</x:v>
      </x:c>
      <x:c r="C30" s="24" t="str">
        <x:v>Linked-corner sequencing</x:v>
      </x:c>
      <x:c r="D30" s="24" t="str">
        <x:v>Core</x:v>
      </x:c>
      <x:c r="E30" s="24" t="str">
        <x:v>Hirochi Sunburst — NGRC2 Gravel Rally (M), AWD</x:v>
      </x:c>
      <x:c r="F30" s="24" t="str">
        <x:v>Automation Test Track</x:v>
      </x:c>
      <x:c r="G30" s="24" t="str">
        <x:v>Rally Track: two bends in quick succession</x:v>
      </x:c>
      <x:c r="H30" s="24" t="str">
        <x:v>Stationary 80 m before first bend; RSC start gate at vehicle reset.</x:v>
      </x:c>
      <x:c r="I30" s="24" t="str">
        <x:v>Prioritize second bend exit even if first apex is compromised; compare with single-corner focus.</x:v>
      </x:c>
      <x:c r="J30" s="37" t="n">
        <x:v>6</x:v>
      </x:c>
      <x:c r="K30" s="37" t="n">
        <x:v>5</x:v>
      </x:c>
      <x:c r="L30" s="24" t="str">
        <x:v>No contact/off-road, and timed segment within +8% of fastest clean attempt.</x:v>
      </x:c>
      <x:c r="M30" s="24" t="str">
        <x:v>Clean times / 6, best &amp; median</x:v>
      </x:c>
      <x:c r="N30" s="24" t="str">
        <x:v>Use Rally Stage Creator (RSC) 20–40 s custom section; create finish past bend two.</x:v>
      </x:c>
      <x:c r="O30" s="24" t="str">
        <x:v>https://documentation.beamng.com/official_content/levels/</x:v>
      </x:c>
      <x:c r="P30" s="24" t="str">
        <x:v>https://documentation.beamng.com/official_content/vehicles/hirochi/</x:v>
      </x:c>
      <x:c r="Q30" s="24" t="n">
        <x:f>COUNTIF('Session Log'!$B$5:$B$204,A30)</x:f>
        <x:v>0</x:v>
      </x:c>
      <x:c r="R30" s="24" t="str">
        <x:f>IF(COUNTIFS('Session Log'!$B$5:$B$204,A30,'Session Log'!$H$5:$H$204,"PASS")&gt;0,"MASTERED",IF(Q30&gt;0,"IN PRACTICE","NOT STARTED"))</x:f>
        <x:v>NOT STARTED</x:v>
      </x:c>
    </x:row>
    <x:row r="31" ht="86" customHeight="1">
      <x:c r="A31" s="29" t="str">
        <x:v>D03</x:v>
      </x:c>
      <x:c r="B31" s="24" t="str">
        <x:v>04  COMPLEX CORNERING</x:v>
      </x:c>
      <x:c r="C31" s="24" t="str">
        <x:v>Decreasing-radius corners</x:v>
      </x:c>
      <x:c r="D31" s="24" t="str">
        <x:v>Core</x:v>
      </x:c>
      <x:c r="E31" s="24" t="str">
        <x:v>Hirochi Sunburst — NGRC2 Asphalt Rally (M), AWD</x:v>
      </x:c>
      <x:c r="F31" s="24" t="str">
        <x:v>Italy</x:v>
      </x:c>
      <x:c r="G31" s="24" t="str">
        <x:v>Choose a rural paved bend that visibly tightens toward exit</x:v>
      </x:c>
      <x:c r="H31" s="24" t="str">
        <x:v>Stationary 80 m before tightening bend, before sightline changes.</x:v>
      </x:c>
      <x:c r="I31" s="24" t="str">
        <x:v>Enter conservatively, delay apex, progressively reduce speed as radius tightens.</x:v>
      </x:c>
      <x:c r="J31" s="37" t="n">
        <x:v>10</x:v>
      </x:c>
      <x:c r="K31" s="37" t="n">
        <x:v>8</x:v>
      </x:c>
      <x:c r="L31" s="24" t="str">
        <x:v>No midcorner emergency stop, barrier contact or two-wheel road departure; clear exit gate.</x:v>
      </x:c>
      <x:c r="M31" s="24" t="str">
        <x:v>Clean tightening-corner attempts / 10</x:v>
      </x:c>
      <x:c r="N31" s="24" t="str">
        <x:v>Choose and screenshot exact corner once; not a preloaded waypoint.</x:v>
      </x:c>
      <x:c r="O31" s="24" t="str">
        <x:v>https://documentation.beamng.com/official_content/levels/</x:v>
      </x:c>
      <x:c r="P31" s="24" t="str">
        <x:v>https://documentation.beamng.com/official_content/vehicles/hirochi/</x:v>
      </x:c>
      <x:c r="Q31" s="24" t="n">
        <x:f>COUNTIF('Session Log'!$B$5:$B$204,A31)</x:f>
        <x:v>0</x:v>
      </x:c>
      <x:c r="R31" s="24" t="str">
        <x:f>IF(COUNTIFS('Session Log'!$B$5:$B$204,A31,'Session Log'!$H$5:$H$204,"PASS")&gt;0,"MASTERED",IF(Q31&gt;0,"IN PRACTICE","NOT STARTED"))</x:f>
        <x:v>NOT STARTED</x:v>
      </x:c>
    </x:row>
    <x:row r="32" ht="86" customHeight="1">
      <x:c r="A32" s="29" t="str">
        <x:v>D04</x:v>
      </x:c>
      <x:c r="B32" s="24" t="str">
        <x:v>04  COMPLEX CORNERING</x:v>
      </x:c>
      <x:c r="C32" s="24" t="str">
        <x:v>Increasing-radius corners</x:v>
      </x:c>
      <x:c r="D32" s="24" t="str">
        <x:v>Core</x:v>
      </x:c>
      <x:c r="E32" s="24" t="str">
        <x:v>Hirochi Sunburst — NGRC2 Asphalt Rally (M), AWD</x:v>
      </x:c>
      <x:c r="F32" s="24" t="str">
        <x:v>Italy</x:v>
      </x:c>
      <x:c r="G32" s="24" t="str">
        <x:v>Choose a rural paved curve that opens on exit</x:v>
      </x:c>
      <x:c r="H32" s="24" t="str">
        <x:v>Stationary 60 m before opening bend; mark start and exit.</x:v>
      </x:c>
      <x:c r="I32" s="24" t="str">
        <x:v>Enter at a safe speed, then unwind steering and progressively accelerate as radius opens.</x:v>
      </x:c>
      <x:c r="J32" s="37" t="n">
        <x:v>10</x:v>
      </x:c>
      <x:c r="K32" s="37" t="n">
        <x:v>8</x:v>
      </x:c>
      <x:c r="L32" s="24" t="str">
        <x:v>Exit in lane; throttle increases after apex without wheelspin, spin or boundary contact.</x:v>
      </x:c>
      <x:c r="M32" s="24" t="str">
        <x:v>Progressive-exit runs / 10</x:v>
      </x:c>
      <x:c r="N32" s="24" t="str">
        <x:v>Use speedometer/replay if observing acceleration pickup.</x:v>
      </x:c>
      <x:c r="O32" s="24" t="str">
        <x:v>https://documentation.beamng.com/official_content/levels/</x:v>
      </x:c>
      <x:c r="P32" s="24" t="str">
        <x:v>https://documentation.beamng.com/official_content/vehicles/hirochi/</x:v>
      </x:c>
      <x:c r="Q32" s="24" t="n">
        <x:f>COUNTIF('Session Log'!$B$5:$B$204,A32)</x:f>
        <x:v>0</x:v>
      </x:c>
      <x:c r="R32" s="24" t="str">
        <x:f>IF(COUNTIFS('Session Log'!$B$5:$B$204,A32,'Session Log'!$H$5:$H$204,"PASS")&gt;0,"MASTERED",IF(Q32&gt;0,"IN PRACTICE","NOT STARTED"))</x:f>
        <x:v>NOT STARTED</x:v>
      </x:c>
    </x:row>
    <x:row r="33" ht="86" customHeight="1">
      <x:c r="A33" s="29" t="str">
        <x:v>D05</x:v>
      </x:c>
      <x:c r="B33" s="24" t="str">
        <x:v>04  COMPLEX CORNERING</x:v>
      </x:c>
      <x:c r="C33" s="24" t="str">
        <x:v>Blind corners</x:v>
      </x:c>
      <x:c r="D33" s="24" t="str">
        <x:v>Core</x:v>
      </x:c>
      <x:c r="E33" s="24" t="str">
        <x:v>Hirochi Sunburst — NGRC2 Gravel Rally (M), AWD</x:v>
      </x:c>
      <x:c r="F33" s="24" t="str">
        <x:v>Utah, USA</x:v>
      </x:c>
      <x:c r="G33" s="24" t="str">
        <x:v>Choose canyon gravel turn obscured by rock or crest</x:v>
      </x:c>
      <x:c r="H33" s="24" t="str">
        <x:v>Stationary 100 m before blind turn; avoid using freecam while scoring.</x:v>
      </x:c>
      <x:c r="I33" s="24" t="str">
        <x:v>Drive the turn from the cockpit at a conservative fixed approach speed, using visible cues.</x:v>
      </x:c>
      <x:c r="J33" s="37" t="n">
        <x:v>10</x:v>
      </x:c>
      <x:c r="K33" s="37" t="n">
        <x:v>8</x:v>
      </x:c>
      <x:c r="L33" s="24" t="str">
        <x:v>No roadside contact or wheels beyond road boundary; correct direction chosen before sightline opens.</x:v>
      </x:c>
      <x:c r="M33" s="24" t="str">
        <x:v>Clean blind entries / 10</x:v>
      </x:c>
      <x:c r="N33" s="24" t="str">
        <x:v>Treat map familiarity as a limitation; eventually transfer to unseen routes.</x:v>
      </x:c>
      <x:c r="O33" s="24" t="str">
        <x:v>https://www.beamng.com/game/news/patch/beamng-drive-v0-39/</x:v>
      </x:c>
      <x:c r="P33" s="24" t="str">
        <x:v>https://documentation.beamng.com/official_content/vehicles/hirochi/</x:v>
      </x:c>
      <x:c r="Q33" s="24" t="n">
        <x:f>COUNTIF('Session Log'!$B$5:$B$204,A33)</x:f>
        <x:v>0</x:v>
      </x:c>
      <x:c r="R33" s="24" t="str">
        <x:f>IF(COUNTIFS('Session Log'!$B$5:$B$204,A33,'Session Log'!$H$5:$H$204,"PASS")&gt;0,"MASTERED",IF(Q33&gt;0,"IN PRACTICE","NOT STARTED"))</x:f>
        <x:v>NOT STARTED</x:v>
      </x:c>
    </x:row>
    <x:row r="34" ht="86" customHeight="1">
      <x:c r="A34" s="29" t="str">
        <x:v>D06</x:v>
      </x:c>
      <x:c r="B34" s="24" t="str">
        <x:v>04  COMPLEX CORNERING</x:v>
      </x:c>
      <x:c r="C34" s="24" t="str">
        <x:v>Uphill and downhill corners</x:v>
      </x:c>
      <x:c r="D34" s="24" t="str">
        <x:v>Core</x:v>
      </x:c>
      <x:c r="E34" s="24" t="str">
        <x:v>Hirochi Sunburst — NGRC2 Asphalt Rally (M), AWD</x:v>
      </x:c>
      <x:c r="F34" s="24" t="str">
        <x:v>Automation Test Track</x:v>
      </x:c>
      <x:c r="G34" s="24" t="str">
        <x:v>Gradient Test hills and their paved connector bends</x:v>
      </x:c>
      <x:c r="H34" s="24" t="str">
        <x:v>Two starts: 60 m before uphill curve and 60 m before downhill curve.</x:v>
      </x:c>
      <x:c r="I34" s="24" t="str">
        <x:v>Alternate five uphill and five downhill turns at comparable entry speeds.</x:v>
      </x:c>
      <x:c r="J34" s="37" t="n">
        <x:v>10</x:v>
      </x:c>
      <x:c r="K34" s="37" t="n">
        <x:v>8</x:v>
      </x:c>
      <x:c r="L34" s="24" t="str">
        <x:v>Clean exit and no late brake lock on downhill; correct gear and control uphill.</x:v>
      </x:c>
      <x:c r="M34" s="24" t="str">
        <x:v>Clean uphill/downhill turns / 10</x:v>
      </x:c>
      <x:c r="N34" s="24" t="str">
        <x:v>Five attempts per direction; keep two saved checkpoints/screenshots.</x:v>
      </x:c>
      <x:c r="O34" s="24" t="str">
        <x:v>https://documentation.beamng.com/official_content/levels/</x:v>
      </x:c>
      <x:c r="P34" s="24" t="str">
        <x:v>https://documentation.beamng.com/official_content/vehicles/hirochi/</x:v>
      </x:c>
      <x:c r="Q34" s="24" t="n">
        <x:f>COUNTIF('Session Log'!$B$5:$B$204,A34)</x:f>
        <x:v>0</x:v>
      </x:c>
      <x:c r="R34" s="24" t="str">
        <x:f>IF(COUNTIFS('Session Log'!$B$5:$B$204,A34,'Session Log'!$H$5:$H$204,"PASS")&gt;0,"MASTERED",IF(Q34&gt;0,"IN PRACTICE","NOT STARTED"))</x:f>
        <x:v>NOT STARTED</x:v>
      </x:c>
    </x:row>
    <x:row r="35" ht="86" customHeight="1">
      <x:c r="A35" s="29" t="str">
        <x:v>D07</x:v>
      </x:c>
      <x:c r="B35" s="24" t="str">
        <x:v>04  COMPLEX CORNERING</x:v>
      </x:c>
      <x:c r="C35" s="24" t="str">
        <x:v>Road camber</x:v>
      </x:c>
      <x:c r="D35" s="24" t="str">
        <x:v>Core</x:v>
      </x:c>
      <x:c r="E35" s="24" t="str">
        <x:v>Hirochi Sunburst — 1.6 Base FWD (M)</x:v>
      </x:c>
      <x:c r="F35" s="24" t="str">
        <x:v>ETK Driver Experience Center</x:v>
      </x:c>
      <x:c r="G35" s="24" t="str">
        <x:v>West training tracks: banked/slanted road sections</x:v>
      </x:c>
      <x:c r="H35" s="24" t="str">
        <x:v>Stationary 50 m before first cambered segment; direction fixed.</x:v>
      </x:c>
      <x:c r="I35" s="24" t="str">
        <x:v>Drive inside- and outside-camber arcs; note how line and speed change available grip.</x:v>
      </x:c>
      <x:c r="J35" s="37" t="n">
        <x:v>10</x:v>
      </x:c>
      <x:c r="K35" s="37" t="n">
        <x:v>8</x:v>
      </x:c>
      <x:c r="L35" s="24" t="str">
        <x:v>Stay inside lane and avoid severe understeer/oversteer; identify which side reduced grip.</x:v>
      </x:c>
      <x:c r="M35" s="24" t="str">
        <x:v>Clean runs and camber observation</x:v>
      </x:c>
      <x:c r="N35" s="24" t="str">
        <x:v>Pick two actual cambered segments on the west training area.</x:v>
      </x:c>
      <x:c r="O35" s="24" t="str">
        <x:v>https://documentation.beamng.com/official_content/levels/</x:v>
      </x:c>
      <x:c r="P35" s="24" t="str">
        <x:v>https://documentation.beamng.com/official_content/vehicles/hirochi/</x:v>
      </x:c>
      <x:c r="Q35" s="24" t="n">
        <x:f>COUNTIF('Session Log'!$B$5:$B$204,A35)</x:f>
        <x:v>0</x:v>
      </x:c>
      <x:c r="R35" s="24" t="str">
        <x:f>IF(COUNTIFS('Session Log'!$B$5:$B$204,A35,'Session Log'!$H$5:$H$204,"PASS")&gt;0,"MASTERED",IF(Q35&gt;0,"IN PRACTICE","NOT STARTED"))</x:f>
        <x:v>NOT STARTED</x:v>
      </x:c>
    </x:row>
    <x:row r="36" ht="86" customHeight="1">
      <x:c r="A36" s="29" t="str">
        <x:v>D08</x:v>
      </x:c>
      <x:c r="B36" s="24" t="str">
        <x:v>04  COMPLEX CORNERING</x:v>
      </x:c>
      <x:c r="C36" s="24" t="str">
        <x:v>Mixed-surface transitions</x:v>
      </x:c>
      <x:c r="D36" s="24" t="str">
        <x:v>Core</x:v>
      </x:c>
      <x:c r="E36" s="24" t="str">
        <x:v>Hirochi Sunburst — NGRC2 Gravel Rally (M), AWD</x:v>
      </x:c>
      <x:c r="F36" s="24" t="str">
        <x:v>Automation Test Track</x:v>
      </x:c>
      <x:c r="G36" s="24" t="str">
        <x:v>Paved access road meeting gravel Rally Track</x:v>
      </x:c>
      <x:c r="H36" s="24" t="str">
        <x:v>Stationary 80 m before identified pavement/gravel boundary.</x:v>
      </x:c>
      <x:c r="I36" s="24" t="str">
        <x:v>Cross tarmac→gravel while turning gently; adapt braking point and steering to lower grip.</x:v>
      </x:c>
      <x:c r="J36" s="37" t="n">
        <x:v>10</x:v>
      </x:c>
      <x:c r="K36" s="37" t="n">
        <x:v>8</x:v>
      </x:c>
      <x:c r="L36" s="24" t="str">
        <x:v>No drift beyond marked road edge and no last-second correction that hits cones.</x:v>
      </x:c>
      <x:c r="M36" s="24" t="str">
        <x:v>Clean transitions / 10</x:v>
      </x:c>
      <x:c r="N36" s="24" t="str">
        <x:v>If geometry differs, select a different confirmed paved-to-gravel interface.</x:v>
      </x:c>
      <x:c r="O36" s="24" t="str">
        <x:v>https://documentation.beamng.com/official_content/levels/</x:v>
      </x:c>
      <x:c r="P36" s="24" t="str">
        <x:v>https://documentation.beamng.com/official_content/vehicles/hirochi/</x:v>
      </x:c>
      <x:c r="Q36" s="24" t="n">
        <x:f>COUNTIF('Session Log'!$B$5:$B$204,A36)</x:f>
        <x:v>0</x:v>
      </x:c>
      <x:c r="R36" s="24" t="str">
        <x:f>IF(COUNTIFS('Session Log'!$B$5:$B$204,A36,'Session Log'!$H$5:$H$204,"PASS")&gt;0,"MASTERED",IF(Q36&gt;0,"IN PRACTICE","NOT STARTED"))</x:f>
        <x:v>NOT STARTED</x:v>
      </x:c>
    </x:row>
    <x:row r="37" ht="86" customHeight="1">
      <x:c r="A37" s="29" t="str">
        <x:v>E01</x:v>
      </x:c>
      <x:c r="B37" s="24" t="str">
        <x:v>05  TERRAIN &amp; DRIVETRAINS</x:v>
      </x:c>
      <x:c r="C37" s="24" t="str">
        <x:v>Snow vs gravel vs tarmac</x:v>
      </x:c>
      <x:c r="D37" s="24" t="str">
        <x:v>Optional mod</x:v>
      </x:c>
      <x:c r="E37" s="24" t="str">
        <x:v>Hirochi Sunburst — NGRC2 Gravel Rally (M), AWD</x:v>
      </x:c>
      <x:c r="F37" s="24" t="str">
        <x:v>Winter West Coast, USA [OPTIONAL MOD]</x:v>
      </x:c>
      <x:c r="G37" s="24" t="str">
        <x:v>Winter West Coast + West Coast dry; gravel on Automation Rally Track</x:v>
      </x:c>
      <x:c r="H37" s="24" t="str">
        <x:v>Three saved starts, one on each surface (not identical geometry).</x:v>
      </x:c>
      <x:c r="I37" s="24" t="str">
        <x:v>Perform 4 controlled corners on snow, 4 on tarmac, 4 on gravel; record safe approach speed and braking behavior.</x:v>
      </x:c>
      <x:c r="J37" s="37" t="n">
        <x:v>12</x:v>
      </x:c>
      <x:c r="K37" s="37" t="n">
        <x:v>9</x:v>
      </x:c>
      <x:c r="L37" s="24" t="str">
        <x:v>Complete each turn with all wheels on road and no collision; log safe speed for all three surfaces.</x:v>
      </x:c>
      <x:c r="M37" s="24" t="str">
        <x:v>Clean turns per surface + observations</x:v>
      </x:c>
      <x:c r="N37" s="24" t="str">
        <x:v>OPTIONAL Winter West Coast 0.39.1 mod; check compatibility and actual traction. Fall back to 2-surface comparison if unavailable.</x:v>
      </x:c>
      <x:c r="O37" s="24" t="str">
        <x:v>https://www.beamng.com/resources/winter-west-coast-usa.34794/</x:v>
      </x:c>
      <x:c r="P37" s="24" t="str">
        <x:v>https://documentation.beamng.com/official_content/vehicles/hirochi/</x:v>
      </x:c>
      <x:c r="Q37" s="24" t="n">
        <x:f>COUNTIF('Session Log'!$B$5:$B$204,A37)</x:f>
        <x:v>0</x:v>
      </x:c>
      <x:c r="R37" s="24" t="str">
        <x:f>IF(COUNTIFS('Session Log'!$B$5:$B$204,A37,'Session Log'!$H$5:$H$204,"PASS")&gt;0,"MASTERED",IF(Q37&gt;0,"IN PRACTICE","NOT STARTED"))</x:f>
        <x:v>NOT STARTED</x:v>
      </x:c>
    </x:row>
    <x:row r="38" ht="86" customHeight="1">
      <x:c r="A38" s="29" t="str">
        <x:v>E02</x:v>
      </x:c>
      <x:c r="B38" s="24" t="str">
        <x:v>05  TERRAIN &amp; DRIVETRAINS</x:v>
      </x:c>
      <x:c r="C38" s="24" t="str">
        <x:v>FWD driving technique</x:v>
      </x:c>
      <x:c r="D38" s="24" t="str">
        <x:v>Core</x:v>
      </x:c>
      <x:c r="E38" s="24" t="str">
        <x:v>Hirochi Sunburst — 1.6 Base FWD (M)</x:v>
      </x:c>
      <x:c r="F38" s="24" t="str">
        <x:v>Automation Test Track</x:v>
      </x:c>
      <x:c r="G38" s="24" t="str">
        <x:v>Rally Track: moderate gravel corner with runoff</x:v>
      </x:c>
      <x:c r="H38" s="24" t="str">
        <x:v>Stationary 70 m before turn, lower entry speed due to road tires.</x:v>
      </x:c>
      <x:c r="I38" s="24" t="str">
        <x:v>Use a small lift/brake to rotate before apex; reapply throttle to stabilize FWD exit.</x:v>
      </x:c>
      <x:c r="J38" s="37" t="n">
        <x:v>10</x:v>
      </x:c>
      <x:c r="K38" s="37" t="n">
        <x:v>8</x:v>
      </x:c>
      <x:c r="L38" s="24" t="str">
        <x:v>No power-on plowing past outer boundary and no handbrake; exit aligned.</x:v>
      </x:c>
      <x:c r="M38" s="24" t="str">
        <x:v>Clean FWD corners / 10</x:v>
      </x:c>
      <x:c r="N38" s="24" t="str">
        <x:v>Keep all car parts/tires stock so lesson is about drivetrain.</x:v>
      </x:c>
      <x:c r="O38" s="24" t="str">
        <x:v>https://documentation.beamng.com/official_content/levels/</x:v>
      </x:c>
      <x:c r="P38" s="24" t="str">
        <x:v>https://documentation.beamng.com/official_content/vehicles/hirochi/</x:v>
      </x:c>
      <x:c r="Q38" s="24" t="n">
        <x:f>COUNTIF('Session Log'!$B$5:$B$204,A38)</x:f>
        <x:v>0</x:v>
      </x:c>
      <x:c r="R38" s="24" t="str">
        <x:f>IF(COUNTIFS('Session Log'!$B$5:$B$204,A38,'Session Log'!$H$5:$H$204,"PASS")&gt;0,"MASTERED",IF(Q38&gt;0,"IN PRACTICE","NOT STARTED"))</x:f>
        <x:v>NOT STARTED</x:v>
      </x:c>
    </x:row>
    <x:row r="39" ht="86" customHeight="1">
      <x:c r="A39" s="29" t="str">
        <x:v>E03</x:v>
      </x:c>
      <x:c r="B39" s="24" t="str">
        <x:v>05  TERRAIN &amp; DRIVETRAINS</x:v>
      </x:c>
      <x:c r="C39" s="24" t="str">
        <x:v>RWD driving technique</x:v>
      </x:c>
      <x:c r="D39" s="24" t="str">
        <x:v>Core</x:v>
      </x:c>
      <x:c r="E39" s="24" t="str">
        <x:v>Hirochi SBR4 — NGRC2 Rally Gravel (M), RWD</x:v>
      </x:c>
      <x:c r="F39" s="24" t="str">
        <x:v>Automation Test Track</x:v>
      </x:c>
      <x:c r="G39" s="24" t="str">
        <x:v>Rally Track: open gravel sweeper</x:v>
      </x:c>
      <x:c r="H39" s="24" t="str">
        <x:v>Stationary 70 m before turn; 35–45 km/h entry.</x:v>
      </x:c>
      <x:c r="I39" s="24" t="str">
        <x:v>Use steering and moderate power to create rear slip, then meter throttle to stabilize exit.</x:v>
      </x:c>
      <x:c r="J39" s="37" t="n">
        <x:v>10</x:v>
      </x:c>
      <x:c r="K39" s="37" t="n">
        <x:v>8</x:v>
      </x:c>
      <x:c r="L39" s="24" t="str">
        <x:v>No full spin, off-road excursion or sustained wheelspin that stalls progress.</x:v>
      </x:c>
      <x:c r="M39" s="24" t="str">
        <x:v>Clean RWD exits / 10</x:v>
      </x:c>
      <x:c r="N39" s="24" t="str">
        <x:v>NGRC2 RWD gravel configuration is an official vehicle preset.</x:v>
      </x:c>
      <x:c r="O39" s="24" t="str">
        <x:v>https://documentation.beamng.com/official_content/levels/</x:v>
      </x:c>
      <x:c r="P39" s="24" t="str">
        <x:v>https://documentation.beamng.com/official_content/vehicles/hirochi/</x:v>
      </x:c>
      <x:c r="Q39" s="24" t="n">
        <x:f>COUNTIF('Session Log'!$B$5:$B$204,A39)</x:f>
        <x:v>0</x:v>
      </x:c>
      <x:c r="R39" s="24" t="str">
        <x:f>IF(COUNTIFS('Session Log'!$B$5:$B$204,A39,'Session Log'!$H$5:$H$204,"PASS")&gt;0,"MASTERED",IF(Q39&gt;0,"IN PRACTICE","NOT STARTED"))</x:f>
        <x:v>NOT STARTED</x:v>
      </x:c>
    </x:row>
    <x:row r="40" ht="86" customHeight="1">
      <x:c r="A40" s="29" t="str">
        <x:v>E04</x:v>
      </x:c>
      <x:c r="B40" s="24" t="str">
        <x:v>05  TERRAIN &amp; DRIVETRAINS</x:v>
      </x:c>
      <x:c r="C40" s="24" t="str">
        <x:v>AWD driving technique</x:v>
      </x:c>
      <x:c r="D40" s="24" t="str">
        <x:v>Core</x:v>
      </x:c>
      <x:c r="E40" s="24" t="str">
        <x:v>Hirochi Sunburst — NGRC2 Gravel Rally (M), AWD</x:v>
      </x:c>
      <x:c r="F40" s="24" t="str">
        <x:v>Automation Test Track</x:v>
      </x:c>
      <x:c r="G40" s="24" t="str">
        <x:v>Same gravel sweeper as E03</x:v>
      </x:c>
      <x:c r="H40" s="24" t="str">
        <x:v>Reuse exact E03 start location and timing markers.</x:v>
      </x:c>
      <x:c r="I40" s="24" t="str">
        <x:v>Compare AWD corner rotation and exit traction with E03; use progressive throttle.</x:v>
      </x:c>
      <x:c r="J40" s="37" t="n">
        <x:v>10</x:v>
      </x:c>
      <x:c r="K40" s="37" t="n">
        <x:v>8</x:v>
      </x:c>
      <x:c r="L40" s="24" t="str">
        <x:v>No front-end washout or outside-road excursion; clean, accelerating exit.</x:v>
      </x:c>
      <x:c r="M40" s="24" t="str">
        <x:v>Clean AWD exits and exit speed</x:v>
      </x:c>
      <x:c r="N40" s="24" t="str">
        <x:v>Different car means comparison is qualitative; keep tire classes appropriate.</x:v>
      </x:c>
      <x:c r="O40" s="24" t="str">
        <x:v>https://documentation.beamng.com/official_content/levels/</x:v>
      </x:c>
      <x:c r="P40" s="24" t="str">
        <x:v>https://documentation.beamng.com/official_content/vehicles/hirochi/</x:v>
      </x:c>
      <x:c r="Q40" s="24" t="n">
        <x:f>COUNTIF('Session Log'!$B$5:$B$204,A40)</x:f>
        <x:v>0</x:v>
      </x:c>
      <x:c r="R40" s="24" t="str">
        <x:f>IF(COUNTIFS('Session Log'!$B$5:$B$204,A40,'Session Log'!$H$5:$H$204,"PASS")&gt;0,"MASTERED",IF(Q40&gt;0,"IN PRACTICE","NOT STARTED"))</x:f>
        <x:v>NOT STARTED</x:v>
      </x:c>
    </x:row>
    <x:row r="41" ht="86" customHeight="1">
      <x:c r="A41" s="29" t="str">
        <x:v>E05</x:v>
      </x:c>
      <x:c r="B41" s="24" t="str">
        <x:v>05  TERRAIN &amp; DRIVETRAINS</x:v>
      </x:c>
      <x:c r="C41" s="24" t="str">
        <x:v>Crest management</x:v>
      </x:c>
      <x:c r="D41" s="24" t="str">
        <x:v>Core</x:v>
      </x:c>
      <x:c r="E41" s="24" t="str">
        <x:v>Hirochi Sunburst — NGRC2 Gravel Rally (M), AWD</x:v>
      </x:c>
      <x:c r="F41" s="24" t="str">
        <x:v>Automation Test Track</x:v>
      </x:c>
      <x:c r="G41" s="24" t="str">
        <x:v>Rally Track hill / gravel approach near Gradient Test area</x:v>
      </x:c>
      <x:c r="H41" s="24" t="str">
        <x:v>Stationary 120 m before chosen accessible crest; straight line at summit.</x:v>
      </x:c>
      <x:c r="I41" s="24" t="str">
        <x:v>Approach crest in a straight line with light, stable inputs; avoid sudden steering at unloading.</x:v>
      </x:c>
      <x:c r="J41" s="37" t="n">
        <x:v>10</x:v>
      </x:c>
      <x:c r="K41" s="37" t="n">
        <x:v>8</x:v>
      </x:c>
      <x:c r="L41" s="24" t="str">
        <x:v>Car stays aligned after crest; no spin, crash or large landing bounce.</x:v>
      </x:c>
      <x:c r="M41" s="24" t="str">
        <x:v>Stable crest crossings / 10</x:v>
      </x:c>
      <x:c r="N41" s="24" t="str">
        <x:v>Choose an actual safe crest and mark 20 m recovery zone.</x:v>
      </x:c>
      <x:c r="O41" s="24" t="str">
        <x:v>https://documentation.beamng.com/official_content/levels/</x:v>
      </x:c>
      <x:c r="P41" s="24" t="str">
        <x:v>https://documentation.beamng.com/official_content/vehicles/hirochi/</x:v>
      </x:c>
      <x:c r="Q41" s="24" t="n">
        <x:f>COUNTIF('Session Log'!$B$5:$B$204,A41)</x:f>
        <x:v>0</x:v>
      </x:c>
      <x:c r="R41" s="24" t="str">
        <x:f>IF(COUNTIFS('Session Log'!$B$5:$B$204,A41,'Session Log'!$H$5:$H$204,"PASS")&gt;0,"MASTERED",IF(Q41&gt;0,"IN PRACTICE","NOT STARTED"))</x:f>
        <x:v>NOT STARTED</x:v>
      </x:c>
    </x:row>
    <x:row r="42" ht="86" customHeight="1">
      <x:c r="A42" s="29" t="str">
        <x:v>E06</x:v>
      </x:c>
      <x:c r="B42" s="24" t="str">
        <x:v>05  TERRAIN &amp; DRIVETRAINS</x:v>
      </x:c>
      <x:c r="C42" s="24" t="str">
        <x:v>Jump takeoff and landing</x:v>
      </x:c>
      <x:c r="D42" s="24" t="str">
        <x:v>Core</x:v>
      </x:c>
      <x:c r="E42" s="24" t="str">
        <x:v>Cherrier Vivace — NGRC1 Gravel Rally (Sequential), AWD</x:v>
      </x:c>
      <x:c r="F42" s="24" t="str">
        <x:v>Utah, USA</x:v>
      </x:c>
      <x:c r="G42" s="24" t="str">
        <x:v>Accessible jump on NGRC Rally Utah 2026 gravel route</x:v>
      </x:c>
      <x:c r="H42" s="24" t="str">
        <x:v>Stationary 150 m before jump; same approach direction/speed band.</x:v>
      </x:c>
      <x:c r="I42" s="24" t="str">
        <x:v>Approach square, stabilize car before takeoff and land while maintaining road alignment.</x:v>
      </x:c>
      <x:c r="J42" s="37" t="n">
        <x:v>10</x:v>
      </x:c>
      <x:c r="K42" s="37" t="n">
        <x:v>8</x:v>
      </x:c>
      <x:c r="L42" s="24" t="str">
        <x:v>Four wheels land on intended road, no roll or damage, vehicle continues under control.</x:v>
      </x:c>
      <x:c r="M42" s="24" t="str">
        <x:v>Controlled landings / 10</x:v>
      </x:c>
      <x:c r="N42" s="24" t="str">
        <x:v>Find jump by recce in Freeroam first; official Utah Rally loop confirms jumps.</x:v>
      </x:c>
      <x:c r="O42" s="24" t="str">
        <x:v>https://www.beamng.com/game/news/patch/beamng-drive-v0-39/</x:v>
      </x:c>
      <x:c r="P42" s="24" t="str">
        <x:v>https://documentation.beamng.com/official_content/vehicles/cherrier/</x:v>
      </x:c>
      <x:c r="Q42" s="24" t="n">
        <x:f>COUNTIF('Session Log'!$B$5:$B$204,A42)</x:f>
        <x:v>0</x:v>
      </x:c>
      <x:c r="R42" s="24" t="str">
        <x:f>IF(COUNTIFS('Session Log'!$B$5:$B$204,A42,'Session Log'!$H$5:$H$204,"PASS")&gt;0,"MASTERED",IF(Q42&gt;0,"IN PRACTICE","NOT STARTED"))</x:f>
        <x:v>NOT STARTED</x:v>
      </x:c>
    </x:row>
    <x:row r="43" ht="86" customHeight="1">
      <x:c r="A43" s="29" t="str">
        <x:v>E07</x:v>
      </x:c>
      <x:c r="B43" s="24" t="str">
        <x:v>05  TERRAIN &amp; DRIVETRAINS</x:v>
      </x:c>
      <x:c r="C43" s="24" t="str">
        <x:v>Rough terrain and suspension unloading</x:v>
      </x:c>
      <x:c r="D43" s="24" t="str">
        <x:v>Core</x:v>
      </x:c>
      <x:c r="E43" s="24" t="str">
        <x:v>Cherrier Vivace — NGRC1 Gravel Rally (Sequential), AWD</x:v>
      </x:c>
      <x:c r="F43" s="24" t="str">
        <x:v>Johnson Valley</x:v>
      </x:c>
      <x:c r="G43" s="24" t="str">
        <x:v>Rutted, corrugated off-road trail with no large cliffs</x:v>
      </x:c>
      <x:c r="H43" s="24" t="str">
        <x:v>Stationary 80 m before 150–250 m rough section.</x:v>
      </x:c>
      <x:c r="I43" s="24" t="str">
        <x:v>Traverse uneven road with smooth throttle and minimal large steering corrections.</x:v>
      </x:c>
      <x:c r="J43" s="37" t="n">
        <x:v>10</x:v>
      </x:c>
      <x:c r="K43" s="37" t="n">
        <x:v>8</x:v>
      </x:c>
      <x:c r="L43" s="24" t="str">
        <x:v>No puncture, broken suspension, roll or departure from chosen trail.</x:v>
      </x:c>
      <x:c r="M43" s="24" t="str">
        <x:v>Clean rough-ground traversals / 10</x:v>
      </x:c>
      <x:c r="N43" s="24" t="str">
        <x:v>Keep segment and approach gear fixed; avoid very rocky rock-crawler lines.</x:v>
      </x:c>
      <x:c r="O43" s="24" t="str">
        <x:v>https://documentation.beamng.com/official_content/levels/</x:v>
      </x:c>
      <x:c r="P43" s="24" t="str">
        <x:v>https://documentation.beamng.com/official_content/vehicles/cherrier/</x:v>
      </x:c>
      <x:c r="Q43" s="24" t="n">
        <x:f>COUNTIF('Session Log'!$B$5:$B$204,A43)</x:f>
        <x:v>0</x:v>
      </x:c>
      <x:c r="R43" s="24" t="str">
        <x:f>IF(COUNTIFS('Session Log'!$B$5:$B$204,A43,'Session Log'!$H$5:$H$204,"PASS")&gt;0,"MASTERED",IF(Q43&gt;0,"IN PRACTICE","NOT STARTED"))</x:f>
        <x:v>NOT STARTED</x:v>
      </x:c>
    </x:row>
    <x:row r="44" ht="86" customHeight="1">
      <x:c r="A44" s="29" t="str">
        <x:v>E08</x:v>
      </x:c>
      <x:c r="B44" s="24" t="str">
        <x:v>05  TERRAIN &amp; DRIVETRAINS</x:v>
      </x:c>
      <x:c r="C44" s="24" t="str">
        <x:v>Water crossings and hazards</x:v>
      </x:c>
      <x:c r="D44" s="24" t="str">
        <x:v>Core</x:v>
      </x:c>
      <x:c r="E44" s="24" t="str">
        <x:v>Hirochi Sunburst — NGRC2 Gravel Rally (M), AWD</x:v>
      </x:c>
      <x:c r="F44" s="24" t="str">
        <x:v>Utah, USA</x:v>
      </x:c>
      <x:c r="G44" s="24" t="str">
        <x:v>Shallow crossing found on official NGRC Rally Utah route</x:v>
      </x:c>
      <x:c r="H44" s="24" t="str">
        <x:v>Stationary 80 m before ford; choose shallow driveable section.</x:v>
      </x:c>
      <x:c r="I44" s="24" t="str">
        <x:v>Approach with modest speed, cross without stopping midstream, exit onto dry track.</x:v>
      </x:c>
      <x:c r="J44" s="37" t="n">
        <x:v>10</x:v>
      </x:c>
      <x:c r="K44" s="37" t="n">
        <x:v>8</x:v>
      </x:c>
      <x:c r="L44" s="24" t="str">
        <x:v>No engine stall, major impact, off-course travel or recovery use.</x:v>
      </x:c>
      <x:c r="M44" s="24" t="str">
        <x:v>Clean ford crossings / 10</x:v>
      </x:c>
      <x:c r="N44" s="24" t="str">
        <x:v>Select safe ford during recce; depth depends on position and vehicle.</x:v>
      </x:c>
      <x:c r="O44" s="24" t="str">
        <x:v>https://www.beamng.com/game/news/patch/beamng-drive-v0-39/</x:v>
      </x:c>
      <x:c r="P44" s="24" t="str">
        <x:v>https://documentation.beamng.com/official_content/vehicles/hirochi/</x:v>
      </x:c>
      <x:c r="Q44" s="24" t="n">
        <x:f>COUNTIF('Session Log'!$B$5:$B$204,A44)</x:f>
        <x:v>0</x:v>
      </x:c>
      <x:c r="R44" s="24" t="str">
        <x:f>IF(COUNTIFS('Session Log'!$B$5:$B$204,A44,'Session Log'!$H$5:$H$204,"PASS")&gt;0,"MASTERED",IF(Q44&gt;0,"IN PRACTICE","NOT STARTED"))</x:f>
        <x:v>NOT STARTED</x:v>
      </x:c>
    </x:row>
    <x:row r="45" ht="86" customHeight="1">
      <x:c r="A45" s="29" t="str">
        <x:v>F01</x:v>
      </x:c>
      <x:c r="B45" s="24" t="str">
        <x:v>06  RALLY STAGE PERFORMANCE</x:v>
      </x:c>
      <x:c r="C45" s="24" t="str">
        <x:v>Pacenote interpretation</x:v>
      </x:c>
      <x:c r="D45" s="24" t="str">
        <x:v>Mission</x:v>
      </x:c>
      <x:c r="E45" s="24" t="str">
        <x:v>Hirochi Sunburst — NGRC2 Gravel Rally (M), AWD</x:v>
      </x:c>
      <x:c r="F45" s="24" t="str">
        <x:v>Utah, USA</x:v>
      </x:c>
      <x:c r="G45" s="24" t="str">
        <x:v>Official NGRC Rally Utah 2026 special stage</x:v>
      </x:c>
      <x:c r="H45" s="24" t="str">
        <x:v>Official rally-stage starting line; use mission start/restart rather than Home.</x:v>
      </x:c>
      <x:c r="I45" s="24" t="str">
        <x:v>Choose one official stage with co-driver calls. Drive 5 scored runs, calling the next instruction before executing.</x:v>
      </x:c>
      <x:c r="J45" s="37" t="n">
        <x:v>5</x:v>
      </x:c>
      <x:c r="K45" s="37" t="n">
        <x:v>4</x:v>
      </x:c>
      <x:c r="L45" s="24" t="str">
        <x:v>No major wrong-direction error or recovery; finish stage with no severe damage.</x:v>
      </x:c>
      <x:c r="M45" s="24" t="str">
        <x:v>Clean stage finishes / 5; note errors</x:v>
      </x:c>
      <x:c r="N45" s="24" t="str">
        <x:v>Official Rally Mode for actual voiced pacenotes. Mission restarts may have menus/loading.</x:v>
      </x:c>
      <x:c r="O45" s="24" t="str">
        <x:v>https://www.beamng.com/game/news/patch/beamng-drive-v0-39/</x:v>
      </x:c>
      <x:c r="P45" s="24" t="str">
        <x:v>https://documentation.beamng.com/official_content/vehicles/hirochi/</x:v>
      </x:c>
      <x:c r="Q45" s="24" t="n">
        <x:f>COUNTIF('Session Log'!$B$5:$B$204,A45)</x:f>
        <x:v>0</x:v>
      </x:c>
      <x:c r="R45" s="24" t="str">
        <x:f>IF(COUNTIFS('Session Log'!$B$5:$B$204,A45,'Session Log'!$H$5:$H$204,"PASS")&gt;0,"MASTERED",IF(Q45&gt;0,"IN PRACTICE","NOT STARTED"))</x:f>
        <x:v>NOT STARTED</x:v>
      </x:c>
    </x:row>
    <x:row r="46" ht="86" customHeight="1">
      <x:c r="A46" s="29" t="str">
        <x:v>F02</x:v>
      </x:c>
      <x:c r="B46" s="24" t="str">
        <x:v>06  RALLY STAGE PERFORMANCE</x:v>
      </x:c>
      <x:c r="C46" s="24" t="str">
        <x:v>Timed consistency runs</x:v>
      </x:c>
      <x:c r="D46" s="24" t="str">
        <x:v>Timed</x:v>
      </x:c>
      <x:c r="E46" s="24" t="str">
        <x:v>Hirochi Sunburst — NGRC2 Gravel Rally (M), AWD</x:v>
      </x:c>
      <x:c r="F46" s="24" t="str">
        <x:v>Automation Test Track</x:v>
      </x:c>
      <x:c r="G46" s="24" t="str">
        <x:v>40–90-second section of the Rally Track</x:v>
      </x:c>
      <x:c r="H46" s="24" t="str">
        <x:v>Stationary at custom RSC start gate, ~10 m before segment timing begins.</x:v>
      </x:c>
      <x:c r="I46" s="24" t="str">
        <x:v>Complete 6 scored runs through exactly the same start, checkpoints and finish.</x:v>
      </x:c>
      <x:c r="J46" s="37" t="n">
        <x:v>6</x:v>
      </x:c>
      <x:c r="K46" s="37" t="n">
        <x:v>5</x:v>
      </x:c>
      <x:c r="L46" s="24" t="str">
        <x:v>At least 5 runs are clean and within +7% of the fastest clean time in the block.</x:v>
      </x:c>
      <x:c r="M46" s="24" t="str">
        <x:v>Seconds per run; spread %; clean runs</x:v>
      </x:c>
      <x:c r="N46" s="24" t="str">
        <x:v>RSC recommended; save stage definition and use quick restart.</x:v>
      </x:c>
      <x:c r="O46" s="24" t="str">
        <x:v>https://documentation.beamng.com/official_content/levels/</x:v>
      </x:c>
      <x:c r="P46" s="24" t="str">
        <x:v>https://documentation.beamng.com/official_content/vehicles/hirochi/</x:v>
      </x:c>
      <x:c r="Q46" s="24" t="n">
        <x:f>COUNTIF('Session Log'!$B$5:$B$204,A46)</x:f>
        <x:v>0</x:v>
      </x:c>
      <x:c r="R46" s="24" t="str">
        <x:f>IF(COUNTIFS('Session Log'!$B$5:$B$204,A46,'Session Log'!$H$5:$H$204,"PASS")&gt;0,"MASTERED",IF(Q46&gt;0,"IN PRACTICE","NOT STARTED"))</x:f>
        <x:v>NOT STARTED</x:v>
      </x:c>
    </x:row>
    <x:row r="47" ht="86" customHeight="1">
      <x:c r="A47" s="29" t="str">
        <x:v>F03</x:v>
      </x:c>
      <x:c r="B47" s="24" t="str">
        <x:v>06  RALLY STAGE PERFORMANCE</x:v>
      </x:c>
      <x:c r="C47" s="24" t="str">
        <x:v>Speed management and regularity</x:v>
      </x:c>
      <x:c r="D47" s="24" t="str">
        <x:v>Timed</x:v>
      </x:c>
      <x:c r="E47" s="24" t="str">
        <x:v>Hirochi Sunburst — 1.6 Base FWD (M)</x:v>
      </x:c>
      <x:c r="F47" s="24" t="str">
        <x:v>Automation Test Track</x:v>
      </x:c>
      <x:c r="G47" s="24" t="str">
        <x:v>Runway: custom 200–300 m regularity route</x:v>
      </x:c>
      <x:c r="H47" s="24" t="str">
        <x:v>Stationary 15 m before timing start; fix one target time for whole segment.</x:v>
      </x:c>
      <x:c r="I47" s="24" t="str">
        <x:v>Complete fixed-distance route at a target time set after two practice passes.</x:v>
      </x:c>
      <x:c r="J47" s="37" t="n">
        <x:v>10</x:v>
      </x:c>
      <x:c r="K47" s="37" t="n">
        <x:v>8</x:v>
      </x:c>
      <x:c r="L47" s="24" t="str">
        <x:v>Finish within ±2.0 seconds of target time without reversing or exceeding chosen speed cap.</x:v>
      </x:c>
      <x:c r="M47" s="24" t="str">
        <x:v>Absolute time error (seconds)</x:v>
      </x:c>
      <x:c r="N47" s="24" t="str">
        <x:v>RSC recommended for timing; example target 24 s must be calibrated for route.</x:v>
      </x:c>
      <x:c r="O47" s="24" t="str">
        <x:v>https://documentation.beamng.com/official_content/levels/</x:v>
      </x:c>
      <x:c r="P47" s="24" t="str">
        <x:v>https://documentation.beamng.com/official_content/vehicles/hirochi/</x:v>
      </x:c>
      <x:c r="Q47" s="24" t="n">
        <x:f>COUNTIF('Session Log'!$B$5:$B$204,A47)</x:f>
        <x:v>0</x:v>
      </x:c>
      <x:c r="R47" s="24" t="str">
        <x:f>IF(COUNTIFS('Session Log'!$B$5:$B$204,A47,'Session Log'!$H$5:$H$204,"PASS")&gt;0,"MASTERED",IF(Q47&gt;0,"IN PRACTICE","NOT STARTED"))</x:f>
        <x:v>NOT STARTED</x:v>
      </x:c>
    </x:row>
    <x:row r="48" ht="86" customHeight="1">
      <x:c r="A48" s="29" t="str">
        <x:v>F04</x:v>
      </x:c>
      <x:c r="B48" s="24" t="str">
        <x:v>06  RALLY STAGE PERFORMANCE</x:v>
      </x:c>
      <x:c r="C48" s="24" t="str">
        <x:v>Driving unfamiliar stages</x:v>
      </x:c>
      <x:c r="D48" s="24" t="str">
        <x:v>Timed</x:v>
      </x:c>
      <x:c r="E48" s="24" t="str">
        <x:v>Hirochi Sunburst — NGRC2 Gravel Rally (M), AWD</x:v>
      </x:c>
      <x:c r="F48" s="24" t="str">
        <x:v>Automation Test Track</x:v>
      </x:c>
      <x:c r="G48" s="24" t="str">
        <x:v>Five different short routes on Rally Track + Handling access roads</x:v>
      </x:c>
      <x:c r="H48" s="24" t="str">
        <x:v>Each new route has its own start gate; no prior timed recce before scored first run.</x:v>
      </x:c>
      <x:c r="I48" s="24" t="str">
        <x:v>Drive 5 distinct short, previously unused courses once each; focus on road reading.</x:v>
      </x:c>
      <x:c r="J48" s="37" t="n">
        <x:v>5</x:v>
      </x:c>
      <x:c r="K48" s="37" t="n">
        <x:v>4</x:v>
      </x:c>
      <x:c r="L48" s="24" t="str">
        <x:v>Finish first encounter cleanly on at least four routes without recovery or off-course excursion.</x:v>
      </x:c>
      <x:c r="M48" s="24" t="str">
        <x:v>First-try clean finishes / 5</x:v>
      </x:c>
      <x:c r="N48" s="24" t="str">
        <x:v>Prepare 5 RSC routes in advance or ask a friend to create/share routes.</x:v>
      </x:c>
      <x:c r="O48" s="24" t="str">
        <x:v>https://documentation.beamng.com/official_content/levels/</x:v>
      </x:c>
      <x:c r="P48" s="24" t="str">
        <x:v>https://documentation.beamng.com/official_content/vehicles/hirochi/</x:v>
      </x:c>
      <x:c r="Q48" s="24" t="n">
        <x:f>COUNTIF('Session Log'!$B$5:$B$204,A48)</x:f>
        <x:v>0</x:v>
      </x:c>
      <x:c r="R48" s="24" t="str">
        <x:f>IF(COUNTIFS('Session Log'!$B$5:$B$204,A48,'Session Log'!$H$5:$H$204,"PASS")&gt;0,"MASTERED",IF(Q48&gt;0,"IN PRACTICE","NOT STARTED"))</x:f>
        <x:v>NOT STARTED</x:v>
      </x:c>
    </x:row>
    <x:row r="49" ht="86" customHeight="1">
      <x:c r="A49" s="29" t="str">
        <x:v>F05</x:v>
      </x:c>
      <x:c r="B49" s="24" t="str">
        <x:v>06  RALLY STAGE PERFORMANCE</x:v>
      </x:c>
      <x:c r="C49" s="24" t="str">
        <x:v>Long-stage concentration</x:v>
      </x:c>
      <x:c r="D49" s="24" t="str">
        <x:v>Mission</x:v>
      </x:c>
      <x:c r="E49" s="24" t="str">
        <x:v>Hirochi Sunburst — NGRC2 Gravel Rally (M), AWD</x:v>
      </x:c>
      <x:c r="F49" s="24" t="str">
        <x:v>Utah, USA</x:v>
      </x:c>
      <x:c r="G49" s="24" t="str">
        <x:v>Official NGRC Rally Utah 2026 full loop (four gravel stages)</x:v>
      </x:c>
      <x:c r="H49" s="24" t="str">
        <x:v>Use actual Rally Mode loop start; mission restart between scored assessments.</x:v>
      </x:c>
      <x:c r="I49" s="24" t="str">
        <x:v>Complete the entire multi-stage loop, maintaining focus and minimizing cumulative mistakes.</x:v>
      </x:c>
      <x:c r="J49" s="37" t="n">
        <x:v>3</x:v>
      </x:c>
      <x:c r="K49" s="37" t="n">
        <x:v>2</x:v>
      </x:c>
      <x:c r="L49" s="24" t="str">
        <x:v>Two complete loops with no recoveries and no major vehicle damage.</x:v>
      </x:c>
      <x:c r="M49" s="24" t="str">
        <x:v>Loop completions, recoveries, total elapsed time</x:v>
      </x:c>
      <x:c r="N49" s="24" t="str">
        <x:v>Long assessment; schedule on its own day. The official Utah loop totals 16.4 km of special stages.</x:v>
      </x:c>
      <x:c r="O49" s="24" t="str">
        <x:v>https://www.beamng.com/game/news/patch/beamng-drive-v0-39/</x:v>
      </x:c>
      <x:c r="P49" s="24" t="str">
        <x:v>https://documentation.beamng.com/official_content/vehicles/hirochi/</x:v>
      </x:c>
      <x:c r="Q49" s="24" t="n">
        <x:f>COUNTIF('Session Log'!$B$5:$B$204,A49)</x:f>
        <x:v>0</x:v>
      </x:c>
      <x:c r="R49" s="24" t="str">
        <x:f>IF(COUNTIFS('Session Log'!$B$5:$B$204,A49,'Session Log'!$H$5:$H$204,"PASS")&gt;0,"MASTERED",IF(Q49&gt;0,"IN PRACTICE","NOT STARTED"))</x:f>
        <x:v>NOT STARTED</x:v>
      </x:c>
    </x:row>
    <x:row r="50" ht="86" customHeight="1">
      <x:c r="A50" s="29" t="str">
        <x:v>F06</x:v>
      </x:c>
      <x:c r="B50" s="24" t="str">
        <x:v>06  RALLY STAGE PERFORMANCE</x:v>
      </x:c>
      <x:c r="C50" s="24" t="str">
        <x:v>Puncture and damage adaptation</x:v>
      </x:c>
      <x:c r="D50" s="24" t="str">
        <x:v>Special</x:v>
      </x:c>
      <x:c r="E50" s="24" t="str">
        <x:v>Hirochi Sunburst — NGRC2 Gravel Rally (M), AWD</x:v>
      </x:c>
      <x:c r="F50" s="24" t="str">
        <x:v>Utah, USA</x:v>
      </x:c>
      <x:c r="G50" s="24" t="str">
        <x:v>Straight and moderate corners on a low-risk gravel road</x:v>
      </x:c>
      <x:c r="H50" s="24" t="str">
        <x:v>Stationary 40 m before 200–300 m chosen training stretch.</x:v>
      </x:c>
      <x:c r="I50" s="24" t="str">
        <x:v>Induce one random tire deflation and drive slowly to finish, adapting steering/braking.</x:v>
      </x:c>
      <x:c r="J50" s="37" t="n">
        <x:v>10</x:v>
      </x:c>
      <x:c r="K50" s="37" t="n">
        <x:v>8</x:v>
      </x:c>
      <x:c r="L50" s="24" t="str">
        <x:v>No additional crash/roll; keep speed below 35 km/h and reach exit under control.</x:v>
      </x:c>
      <x:c r="M50" s="24" t="str">
        <x:v>Safe limps / 10; record which tire</x:v>
      </x:c>
      <x:c r="N50" s="24" t="str">
        <x:v>Ctrl + Shift + H deflates a random tire in default keyboard mappings; wheel differs by run.</x:v>
      </x:c>
      <x:c r="O50" s="24" t="str">
        <x:v>https://www.beamng.com/game/news/patch/beamng-drive-v0-39/</x:v>
      </x:c>
      <x:c r="P50" s="24" t="str">
        <x:v>https://documentation.beamng.com/official_content/vehicles/hirochi/</x:v>
      </x:c>
      <x:c r="Q50" s="24" t="n">
        <x:f>COUNTIF('Session Log'!$B$5:$B$204,A50)</x:f>
        <x:v>0</x:v>
      </x:c>
      <x:c r="R50" s="24" t="str">
        <x:f>IF(COUNTIFS('Session Log'!$B$5:$B$204,A50,'Session Log'!$H$5:$H$204,"PASS")&gt;0,"MASTERED",IF(Q50&gt;0,"IN PRACTICE","NOT STARTED"))</x:f>
        <x:v>NOT STARTED</x:v>
      </x:c>
    </x:row>
    <x:row r="51" ht="86" customHeight="1">
      <x:c r="A51" s="29" t="str">
        <x:v>F07</x:v>
      </x:c>
      <x:c r="B51" s="24" t="str">
        <x:v>06  RALLY STAGE PERFORMANCE</x:v>
      </x:c>
      <x:c r="C51" s="24" t="str">
        <x:v>Vehicle setup comparisons</x:v>
      </x:c>
      <x:c r="D51" s="24" t="str">
        <x:v>Timed</x:v>
      </x:c>
      <x:c r="E51" s="24" t="str">
        <x:v>Hirochi Sunburst — NGRC2 Gravel Rally (M), AWD</x:v>
      </x:c>
      <x:c r="F51" s="24" t="str">
        <x:v>Automation Test Track</x:v>
      </x:c>
      <x:c r="G51" s="24" t="str">
        <x:v>Rally Track: same 40–60 s segment for A/B comparison</x:v>
      </x:c>
      <x:c r="H51" s="24" t="str">
        <x:v>Stationary at RSC start; save two named car configurations and never move start gate.</x:v>
      </x:c>
      <x:c r="I51" s="24" t="str">
        <x:v>Alternate four runs on base config and four on one changed parameter (spring rate if tunable).</x:v>
      </x:c>
      <x:c r="J51" s="37" t="n">
        <x:v>8</x:v>
      </x:c>
      <x:c r="K51" s="37" t="n">
        <x:v>6</x:v>
      </x:c>
      <x:c r="L51" s="24" t="str">
        <x:v>At least 6 clean passes; record median time for both setups and state one handling difference.</x:v>
      </x:c>
      <x:c r="M51" s="24" t="str">
        <x:v>A/B clean count, median time A vs B</x:v>
      </x:c>
      <x:c r="N51" s="24" t="str">
        <x:v>Vehicle Config &gt; Parts/Tuning &gt; Save &amp; Load; only change what this car allows.</x:v>
      </x:c>
      <x:c r="O51" s="24" t="str">
        <x:v>https://documentation.beamng.com/official_content/levels/</x:v>
      </x:c>
      <x:c r="P51" s="24" t="str">
        <x:v>https://documentation.beamng.com/official_content/vehicles/hirochi/</x:v>
      </x:c>
      <x:c r="Q51" s="24" t="n">
        <x:f>COUNTIF('Session Log'!$B$5:$B$204,A51)</x:f>
        <x:v>0</x:v>
      </x:c>
      <x:c r="R51" s="24" t="str">
        <x:f>IF(COUNTIFS('Session Log'!$B$5:$B$204,A51,'Session Log'!$H$5:$H$204,"PASS")&gt;0,"MASTERED",IF(Q51&gt;0,"IN PRACTICE","NOT STARTED"))</x:f>
        <x:v>NOT STARTED</x:v>
      </x:c>
    </x:row>
    <x:row r="52" ht="86" customHeight="1">
      <x:c r="A52" s="29" t="str">
        <x:v>F08</x:v>
      </x:c>
      <x:c r="B52" s="24" t="str">
        <x:v>06  RALLY STAGE PERFORMANCE</x:v>
      </x:c>
      <x:c r="C52" s="24" t="str">
        <x:v>Full-stage technique integration</x:v>
      </x:c>
      <x:c r="D52" s="24" t="str">
        <x:v>Mission</x:v>
      </x:c>
      <x:c r="E52" s="24" t="str">
        <x:v>Cherrier Vivace — NGRC1 Gravel Rally (Sequential), AWD</x:v>
      </x:c>
      <x:c r="F52" s="24" t="str">
        <x:v>Utah, USA</x:v>
      </x:c>
      <x:c r="G52" s="24" t="str">
        <x:v>One official NGRC Rally Utah 2026 special stage</x:v>
      </x:c>
      <x:c r="H52" s="24" t="str">
        <x:v>Use official stage start; establish a clean reference time before scoring.</x:v>
      </x:c>
      <x:c r="I52" s="24" t="str">
        <x:v>Complete three stage attempts combining notes, braking, rotation, hazards and pace.</x:v>
      </x:c>
      <x:c r="J52" s="37" t="n">
        <x:v>3</x:v>
      </x:c>
      <x:c r="K52" s="37" t="n">
        <x:v>2</x:v>
      </x:c>
      <x:c r="L52" s="24" t="str">
        <x:v>At least two clean, no-recovery runs within +8% of personal clean reference time.</x:v>
      </x:c>
      <x:c r="M52" s="24" t="str">
        <x:v>Clean finishes / 3 and % over reference</x:v>
      </x:c>
      <x:c r="N52" s="24" t="str">
        <x:v>Use Rally Mode co-driver calls; reserve full event for F05.</x:v>
      </x:c>
      <x:c r="O52" s="24" t="str">
        <x:v>https://www.beamng.com/game/news/patch/beamng-drive-v0-39/</x:v>
      </x:c>
      <x:c r="P52" s="24" t="str">
        <x:v>https://documentation.beamng.com/official_content/vehicles/cherrier/</x:v>
      </x:c>
      <x:c r="Q52" s="24" t="n">
        <x:f>COUNTIF('Session Log'!$B$5:$B$204,A52)</x:f>
        <x:v>0</x:v>
      </x:c>
      <x:c r="R52" s="24" t="str">
        <x:f>IF(COUNTIFS('Session Log'!$B$5:$B$204,A52,'Session Log'!$H$5:$H$204,"PASS")&gt;0,"MASTERED",IF(Q52&gt;0,"IN PRACTICE","NOT STARTED"))</x:f>
        <x:v>NOT STARTED</x:v>
      </x:c>
    </x:row>
  </x:sheetData>
  <x:mergeCells>
    <x:mergeCell ref="A1:R2"/>
    <x:mergeCell ref="A3:R3"/>
  </x:mergeCells>
  <x:conditionalFormatting sqref="R5:R52">
    <x:cfRule type="expression" dxfId="0" priority="1">
      <x:formula>R5="MASTERED"</x:formula>
    </x:cfRule>
    <x:cfRule type="expression" dxfId="1" priority="2">
      <x:formula>R5="IN PRACTICE"</x:formula>
    </x:cfRule>
  </x:conditionalFormatting>
  <x:conditionalFormatting sqref="D5:D52">
    <x:cfRule type="expression" dxfId="2" priority="3">
      <x:formula>D5="Optional mod"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00662e744c48c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7" hidden="0" customWidth="1"/>
    <x:col min="4" max="4" width="18" hidden="0" customWidth="1"/>
    <x:col min="5" max="5" width="23" hidden="0" customWidth="1"/>
    <x:col min="6" max="6" width="41" hidden="0" customWidth="1"/>
    <x:col min="7" max="7" width="50" hidden="0" customWidth="1"/>
    <x:col min="8" max="8" width="17" hidden="0" customWidth="1"/>
    <x:col min="9" max="9" width="18" hidden="0" customWidth="1"/>
    <x:col min="10" max="10" width="47" hidden="0" customWidth="1"/>
  </x:cols>
  <x:sheetData>
    <x:row r="1" ht="25" customHeight="1">
      <x:c r="A1" s="4" t="str">
        <x:v>TRAINING | SESSION 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6" customHeight="1">
      <x:c r="A3" s="10" t="str">
        <x:v>One row = one scored block of attempts. Enter blue columns A–G, I–J; H calculates PASS/REPEAT automatically.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8" customHeight="1">
      <x:c r="A4" s="17" t="str">
        <x:v>Date</x:v>
      </x:c>
      <x:c r="B4" s="17" t="str">
        <x:v>Drill ID</x:v>
      </x:c>
      <x:c r="C4" s="17" t="str">
        <x:v>Scored runs</x:v>
      </x:c>
      <x:c r="D4" s="17" t="str">
        <x:v>Qualifying runs</x:v>
      </x:c>
      <x:c r="E4" s="17" t="str">
        <x:v>Best time (s), optional</x:v>
      </x:c>
      <x:c r="F4" s="17" t="str">
        <x:v>Focus / most common error</x:v>
      </x:c>
      <x:c r="G4" s="17" t="str">
        <x:v>Observed metrics &amp; setup notes</x:v>
      </x:c>
      <x:c r="H4" s="17" t="str">
        <x:v>Session result</x:v>
      </x:c>
      <x:c r="I4" s="17" t="str">
        <x:v>Session minutes</x:v>
      </x:c>
      <x:c r="J4" s="17" t="str">
        <x:v>Coach notes / video timestamp</x:v>
      </x:c>
    </x:row>
    <x:row r="5" ht="31" customHeight="1">
      <x:c r="A5" s="50"/>
      <x:c r="B5" s="46"/>
      <x:c r="C5" s="46"/>
      <x:c r="D5" s="46"/>
      <x:c r="E5" s="52"/>
      <x:c r="F5" s="46"/>
      <x:c r="G5" s="46"/>
      <x:c r="H5" s="48" t="str">
        <x:f>IF(OR(B5="",C5="",D5=""),"",IF(AND(C5&gt;=IFERROR(VLOOKUP(B5,'Exercise Library'!$A$5:$L$52,10,FALSE),999),D5&gt;=IFERROR(VLOOKUP(B5,'Exercise Library'!$A$5:$L$52,11,FALSE),999),D5&lt;=C5),"PASS","REPEAT"))</x:f>
      </x:c>
      <x:c r="I5" s="46"/>
      <x:c r="J5" s="46"/>
    </x:row>
    <x:row r="6" ht="31" customHeight="1">
      <x:c r="A6" s="50"/>
      <x:c r="B6" s="46"/>
      <x:c r="C6" s="46"/>
      <x:c r="D6" s="46"/>
      <x:c r="E6" s="52"/>
      <x:c r="F6" s="46"/>
      <x:c r="G6" s="46"/>
      <x:c r="H6" s="48" t="str">
        <x:f>IF(OR(B6="",C6="",D6=""),"",IF(AND(C6&gt;=IFERROR(VLOOKUP(B6,'Exercise Library'!$A$5:$L$52,10,FALSE),999),D6&gt;=IFERROR(VLOOKUP(B6,'Exercise Library'!$A$5:$L$52,11,FALSE),999),D6&lt;=C6),"PASS","REPEAT"))</x:f>
      </x:c>
      <x:c r="I6" s="46"/>
      <x:c r="J6" s="46"/>
    </x:row>
    <x:row r="7" ht="31" customHeight="1">
      <x:c r="A7" s="50"/>
      <x:c r="B7" s="46"/>
      <x:c r="C7" s="46"/>
      <x:c r="D7" s="46"/>
      <x:c r="E7" s="52"/>
      <x:c r="F7" s="46"/>
      <x:c r="G7" s="46"/>
      <x:c r="H7" s="48" t="str">
        <x:f>IF(OR(B7="",C7="",D7=""),"",IF(AND(C7&gt;=IFERROR(VLOOKUP(B7,'Exercise Library'!$A$5:$L$52,10,FALSE),999),D7&gt;=IFERROR(VLOOKUP(B7,'Exercise Library'!$A$5:$L$52,11,FALSE),999),D7&lt;=C7),"PASS","REPEAT"))</x:f>
      </x:c>
      <x:c r="I7" s="46"/>
      <x:c r="J7" s="46"/>
    </x:row>
    <x:row r="8" ht="31" customHeight="1">
      <x:c r="A8" s="50"/>
      <x:c r="B8" s="46"/>
      <x:c r="C8" s="46"/>
      <x:c r="D8" s="46"/>
      <x:c r="E8" s="52"/>
      <x:c r="F8" s="46"/>
      <x:c r="G8" s="46"/>
      <x:c r="H8" s="48" t="str">
        <x:f>IF(OR(B8="",C8="",D8=""),"",IF(AND(C8&gt;=IFERROR(VLOOKUP(B8,'Exercise Library'!$A$5:$L$52,10,FALSE),999),D8&gt;=IFERROR(VLOOKUP(B8,'Exercise Library'!$A$5:$L$52,11,FALSE),999),D8&lt;=C8),"PASS","REPEAT"))</x:f>
      </x:c>
      <x:c r="I8" s="46"/>
      <x:c r="J8" s="46"/>
    </x:row>
    <x:row r="9" ht="31" customHeight="1">
      <x:c r="A9" s="50"/>
      <x:c r="B9" s="46"/>
      <x:c r="C9" s="46"/>
      <x:c r="D9" s="46"/>
      <x:c r="E9" s="52"/>
      <x:c r="F9" s="46"/>
      <x:c r="G9" s="46"/>
      <x:c r="H9" s="48" t="str">
        <x:f>IF(OR(B9="",C9="",D9=""),"",IF(AND(C9&gt;=IFERROR(VLOOKUP(B9,'Exercise Library'!$A$5:$L$52,10,FALSE),999),D9&gt;=IFERROR(VLOOKUP(B9,'Exercise Library'!$A$5:$L$52,11,FALSE),999),D9&lt;=C9),"PASS","REPEAT"))</x:f>
      </x:c>
      <x:c r="I9" s="46"/>
      <x:c r="J9" s="46"/>
    </x:row>
    <x:row r="10" ht="31" customHeight="1">
      <x:c r="A10" s="50"/>
      <x:c r="B10" s="46"/>
      <x:c r="C10" s="46"/>
      <x:c r="D10" s="46"/>
      <x:c r="E10" s="52"/>
      <x:c r="F10" s="46"/>
      <x:c r="G10" s="46"/>
      <x:c r="H10" s="48" t="str">
        <x:f>IF(OR(B10="",C10="",D10=""),"",IF(AND(C10&gt;=IFERROR(VLOOKUP(B10,'Exercise Library'!$A$5:$L$52,10,FALSE),999),D10&gt;=IFERROR(VLOOKUP(B10,'Exercise Library'!$A$5:$L$52,11,FALSE),999),D10&lt;=C10),"PASS","REPEAT"))</x:f>
      </x:c>
      <x:c r="I10" s="46"/>
      <x:c r="J10" s="46"/>
    </x:row>
    <x:row r="11" ht="31" customHeight="1">
      <x:c r="A11" s="50"/>
      <x:c r="B11" s="46"/>
      <x:c r="C11" s="46"/>
      <x:c r="D11" s="46"/>
      <x:c r="E11" s="52"/>
      <x:c r="F11" s="46"/>
      <x:c r="G11" s="46"/>
      <x:c r="H11" s="48" t="str">
        <x:f>IF(OR(B11="",C11="",D11=""),"",IF(AND(C11&gt;=IFERROR(VLOOKUP(B11,'Exercise Library'!$A$5:$L$52,10,FALSE),999),D11&gt;=IFERROR(VLOOKUP(B11,'Exercise Library'!$A$5:$L$52,11,FALSE),999),D11&lt;=C11),"PASS","REPEAT"))</x:f>
      </x:c>
      <x:c r="I11" s="46"/>
      <x:c r="J11" s="46"/>
    </x:row>
    <x:row r="12" ht="31" customHeight="1">
      <x:c r="A12" s="50"/>
      <x:c r="B12" s="46"/>
      <x:c r="C12" s="46"/>
      <x:c r="D12" s="46"/>
      <x:c r="E12" s="52"/>
      <x:c r="F12" s="46"/>
      <x:c r="G12" s="46"/>
      <x:c r="H12" s="48" t="str">
        <x:f>IF(OR(B12="",C12="",D12=""),"",IF(AND(C12&gt;=IFERROR(VLOOKUP(B12,'Exercise Library'!$A$5:$L$52,10,FALSE),999),D12&gt;=IFERROR(VLOOKUP(B12,'Exercise Library'!$A$5:$L$52,11,FALSE),999),D12&lt;=C12),"PASS","REPEAT"))</x:f>
      </x:c>
      <x:c r="I12" s="46"/>
      <x:c r="J12" s="46"/>
    </x:row>
    <x:row r="13" ht="31" customHeight="1">
      <x:c r="A13" s="50"/>
      <x:c r="B13" s="46"/>
      <x:c r="C13" s="46"/>
      <x:c r="D13" s="46"/>
      <x:c r="E13" s="52"/>
      <x:c r="F13" s="46"/>
      <x:c r="G13" s="46"/>
      <x:c r="H13" s="48" t="str">
        <x:f>IF(OR(B13="",C13="",D13=""),"",IF(AND(C13&gt;=IFERROR(VLOOKUP(B13,'Exercise Library'!$A$5:$L$52,10,FALSE),999),D13&gt;=IFERROR(VLOOKUP(B13,'Exercise Library'!$A$5:$L$52,11,FALSE),999),D13&lt;=C13),"PASS","REPEAT"))</x:f>
      </x:c>
      <x:c r="I13" s="46"/>
      <x:c r="J13" s="46"/>
    </x:row>
    <x:row r="14" ht="31" customHeight="1">
      <x:c r="A14" s="50"/>
      <x:c r="B14" s="46"/>
      <x:c r="C14" s="46"/>
      <x:c r="D14" s="46"/>
      <x:c r="E14" s="52"/>
      <x:c r="F14" s="46"/>
      <x:c r="G14" s="46"/>
      <x:c r="H14" s="48" t="str">
        <x:f>IF(OR(B14="",C14="",D14=""),"",IF(AND(C14&gt;=IFERROR(VLOOKUP(B14,'Exercise Library'!$A$5:$L$52,10,FALSE),999),D14&gt;=IFERROR(VLOOKUP(B14,'Exercise Library'!$A$5:$L$52,11,FALSE),999),D14&lt;=C14),"PASS","REPEAT"))</x:f>
      </x:c>
      <x:c r="I14" s="46"/>
      <x:c r="J14" s="46"/>
    </x:row>
    <x:row r="15" ht="31" customHeight="1">
      <x:c r="A15" s="50"/>
      <x:c r="B15" s="46"/>
      <x:c r="C15" s="46"/>
      <x:c r="D15" s="46"/>
      <x:c r="E15" s="52"/>
      <x:c r="F15" s="46"/>
      <x:c r="G15" s="46"/>
      <x:c r="H15" s="48" t="str">
        <x:f>IF(OR(B15="",C15="",D15=""),"",IF(AND(C15&gt;=IFERROR(VLOOKUP(B15,'Exercise Library'!$A$5:$L$52,10,FALSE),999),D15&gt;=IFERROR(VLOOKUP(B15,'Exercise Library'!$A$5:$L$52,11,FALSE),999),D15&lt;=C15),"PASS","REPEAT"))</x:f>
      </x:c>
      <x:c r="I15" s="46"/>
      <x:c r="J15" s="46"/>
    </x:row>
    <x:row r="16" ht="31" customHeight="1">
      <x:c r="A16" s="50"/>
      <x:c r="B16" s="46"/>
      <x:c r="C16" s="46"/>
      <x:c r="D16" s="46"/>
      <x:c r="E16" s="52"/>
      <x:c r="F16" s="46"/>
      <x:c r="G16" s="46"/>
      <x:c r="H16" s="48" t="str">
        <x:f>IF(OR(B16="",C16="",D16=""),"",IF(AND(C16&gt;=IFERROR(VLOOKUP(B16,'Exercise Library'!$A$5:$L$52,10,FALSE),999),D16&gt;=IFERROR(VLOOKUP(B16,'Exercise Library'!$A$5:$L$52,11,FALSE),999),D16&lt;=C16),"PASS","REPEAT"))</x:f>
      </x:c>
      <x:c r="I16" s="46"/>
      <x:c r="J16" s="46"/>
    </x:row>
    <x:row r="17" ht="31" customHeight="1">
      <x:c r="A17" s="50"/>
      <x:c r="B17" s="46"/>
      <x:c r="C17" s="46"/>
      <x:c r="D17" s="46"/>
      <x:c r="E17" s="52"/>
      <x:c r="F17" s="46"/>
      <x:c r="G17" s="46"/>
      <x:c r="H17" s="48" t="str">
        <x:f>IF(OR(B17="",C17="",D17=""),"",IF(AND(C17&gt;=IFERROR(VLOOKUP(B17,'Exercise Library'!$A$5:$L$52,10,FALSE),999),D17&gt;=IFERROR(VLOOKUP(B17,'Exercise Library'!$A$5:$L$52,11,FALSE),999),D17&lt;=C17),"PASS","REPEAT"))</x:f>
      </x:c>
      <x:c r="I17" s="46"/>
      <x:c r="J17" s="46"/>
    </x:row>
    <x:row r="18" ht="31" customHeight="1">
      <x:c r="A18" s="50"/>
      <x:c r="B18" s="46"/>
      <x:c r="C18" s="46"/>
      <x:c r="D18" s="46"/>
      <x:c r="E18" s="52"/>
      <x:c r="F18" s="46"/>
      <x:c r="G18" s="46"/>
      <x:c r="H18" s="48" t="str">
        <x:f>IF(OR(B18="",C18="",D18=""),"",IF(AND(C18&gt;=IFERROR(VLOOKUP(B18,'Exercise Library'!$A$5:$L$52,10,FALSE),999),D18&gt;=IFERROR(VLOOKUP(B18,'Exercise Library'!$A$5:$L$52,11,FALSE),999),D18&lt;=C18),"PASS","REPEAT"))</x:f>
      </x:c>
      <x:c r="I18" s="46"/>
      <x:c r="J18" s="46"/>
    </x:row>
    <x:row r="19" ht="31" customHeight="1">
      <x:c r="A19" s="50"/>
      <x:c r="B19" s="46"/>
      <x:c r="C19" s="46"/>
      <x:c r="D19" s="46"/>
      <x:c r="E19" s="52"/>
      <x:c r="F19" s="46"/>
      <x:c r="G19" s="46"/>
      <x:c r="H19" s="48" t="str">
        <x:f>IF(OR(B19="",C19="",D19=""),"",IF(AND(C19&gt;=IFERROR(VLOOKUP(B19,'Exercise Library'!$A$5:$L$52,10,FALSE),999),D19&gt;=IFERROR(VLOOKUP(B19,'Exercise Library'!$A$5:$L$52,11,FALSE),999),D19&lt;=C19),"PASS","REPEAT"))</x:f>
      </x:c>
      <x:c r="I19" s="46"/>
      <x:c r="J19" s="46"/>
    </x:row>
    <x:row r="20" ht="31" customHeight="1">
      <x:c r="A20" s="50"/>
      <x:c r="B20" s="46"/>
      <x:c r="C20" s="46"/>
      <x:c r="D20" s="46"/>
      <x:c r="E20" s="52"/>
      <x:c r="F20" s="46"/>
      <x:c r="G20" s="46"/>
      <x:c r="H20" s="48" t="str">
        <x:f>IF(OR(B20="",C20="",D20=""),"",IF(AND(C20&gt;=IFERROR(VLOOKUP(B20,'Exercise Library'!$A$5:$L$52,10,FALSE),999),D20&gt;=IFERROR(VLOOKUP(B20,'Exercise Library'!$A$5:$L$52,11,FALSE),999),D20&lt;=C20),"PASS","REPEAT"))</x:f>
      </x:c>
      <x:c r="I20" s="46"/>
      <x:c r="J20" s="46"/>
    </x:row>
    <x:row r="21" ht="31" customHeight="1">
      <x:c r="A21" s="50"/>
      <x:c r="B21" s="46"/>
      <x:c r="C21" s="46"/>
      <x:c r="D21" s="46"/>
      <x:c r="E21" s="52"/>
      <x:c r="F21" s="46"/>
      <x:c r="G21" s="46"/>
      <x:c r="H21" s="48" t="str">
        <x:f>IF(OR(B21="",C21="",D21=""),"",IF(AND(C21&gt;=IFERROR(VLOOKUP(B21,'Exercise Library'!$A$5:$L$52,10,FALSE),999),D21&gt;=IFERROR(VLOOKUP(B21,'Exercise Library'!$A$5:$L$52,11,FALSE),999),D21&lt;=C21),"PASS","REPEAT"))</x:f>
      </x:c>
      <x:c r="I21" s="46"/>
      <x:c r="J21" s="46"/>
    </x:row>
    <x:row r="22" ht="31" customHeight="1">
      <x:c r="A22" s="50"/>
      <x:c r="B22" s="46"/>
      <x:c r="C22" s="46"/>
      <x:c r="D22" s="46"/>
      <x:c r="E22" s="52"/>
      <x:c r="F22" s="46"/>
      <x:c r="G22" s="46"/>
      <x:c r="H22" s="48" t="str">
        <x:f>IF(OR(B22="",C22="",D22=""),"",IF(AND(C22&gt;=IFERROR(VLOOKUP(B22,'Exercise Library'!$A$5:$L$52,10,FALSE),999),D22&gt;=IFERROR(VLOOKUP(B22,'Exercise Library'!$A$5:$L$52,11,FALSE),999),D22&lt;=C22),"PASS","REPEAT"))</x:f>
      </x:c>
      <x:c r="I22" s="46"/>
      <x:c r="J22" s="46"/>
    </x:row>
    <x:row r="23" ht="31" customHeight="1">
      <x:c r="A23" s="50"/>
      <x:c r="B23" s="46"/>
      <x:c r="C23" s="46"/>
      <x:c r="D23" s="46"/>
      <x:c r="E23" s="52"/>
      <x:c r="F23" s="46"/>
      <x:c r="G23" s="46"/>
      <x:c r="H23" s="48" t="str">
        <x:f>IF(OR(B23="",C23="",D23=""),"",IF(AND(C23&gt;=IFERROR(VLOOKUP(B23,'Exercise Library'!$A$5:$L$52,10,FALSE),999),D23&gt;=IFERROR(VLOOKUP(B23,'Exercise Library'!$A$5:$L$52,11,FALSE),999),D23&lt;=C23),"PASS","REPEAT"))</x:f>
      </x:c>
      <x:c r="I23" s="46"/>
      <x:c r="J23" s="46"/>
    </x:row>
    <x:row r="24" ht="31" customHeight="1">
      <x:c r="A24" s="50"/>
      <x:c r="B24" s="46"/>
      <x:c r="C24" s="46"/>
      <x:c r="D24" s="46"/>
      <x:c r="E24" s="52"/>
      <x:c r="F24" s="46"/>
      <x:c r="G24" s="46"/>
      <x:c r="H24" s="48" t="str">
        <x:f>IF(OR(B24="",C24="",D24=""),"",IF(AND(C24&gt;=IFERROR(VLOOKUP(B24,'Exercise Library'!$A$5:$L$52,10,FALSE),999),D24&gt;=IFERROR(VLOOKUP(B24,'Exercise Library'!$A$5:$L$52,11,FALSE),999),D24&lt;=C24),"PASS","REPEAT"))</x:f>
      </x:c>
      <x:c r="I24" s="46"/>
      <x:c r="J24" s="46"/>
    </x:row>
    <x:row r="25" ht="31" customHeight="1">
      <x:c r="A25" s="50"/>
      <x:c r="B25" s="46"/>
      <x:c r="C25" s="46"/>
      <x:c r="D25" s="46"/>
      <x:c r="E25" s="52"/>
      <x:c r="F25" s="46"/>
      <x:c r="G25" s="46"/>
      <x:c r="H25" s="48" t="str">
        <x:f>IF(OR(B25="",C25="",D25=""),"",IF(AND(C25&gt;=IFERROR(VLOOKUP(B25,'Exercise Library'!$A$5:$L$52,10,FALSE),999),D25&gt;=IFERROR(VLOOKUP(B25,'Exercise Library'!$A$5:$L$52,11,FALSE),999),D25&lt;=C25),"PASS","REPEAT"))</x:f>
      </x:c>
      <x:c r="I25" s="46"/>
      <x:c r="J25" s="46"/>
    </x:row>
    <x:row r="26" ht="31" customHeight="1">
      <x:c r="A26" s="50"/>
      <x:c r="B26" s="46"/>
      <x:c r="C26" s="46"/>
      <x:c r="D26" s="46"/>
      <x:c r="E26" s="52"/>
      <x:c r="F26" s="46"/>
      <x:c r="G26" s="46"/>
      <x:c r="H26" s="48" t="str">
        <x:f>IF(OR(B26="",C26="",D26=""),"",IF(AND(C26&gt;=IFERROR(VLOOKUP(B26,'Exercise Library'!$A$5:$L$52,10,FALSE),999),D26&gt;=IFERROR(VLOOKUP(B26,'Exercise Library'!$A$5:$L$52,11,FALSE),999),D26&lt;=C26),"PASS","REPEAT"))</x:f>
      </x:c>
      <x:c r="I26" s="46"/>
      <x:c r="J26" s="46"/>
    </x:row>
    <x:row r="27" ht="31" customHeight="1">
      <x:c r="A27" s="50"/>
      <x:c r="B27" s="46"/>
      <x:c r="C27" s="46"/>
      <x:c r="D27" s="46"/>
      <x:c r="E27" s="52"/>
      <x:c r="F27" s="46"/>
      <x:c r="G27" s="46"/>
      <x:c r="H27" s="48" t="str">
        <x:f>IF(OR(B27="",C27="",D27=""),"",IF(AND(C27&gt;=IFERROR(VLOOKUP(B27,'Exercise Library'!$A$5:$L$52,10,FALSE),999),D27&gt;=IFERROR(VLOOKUP(B27,'Exercise Library'!$A$5:$L$52,11,FALSE),999),D27&lt;=C27),"PASS","REPEAT"))</x:f>
      </x:c>
      <x:c r="I27" s="46"/>
      <x:c r="J27" s="46"/>
    </x:row>
    <x:row r="28" ht="31" customHeight="1">
      <x:c r="A28" s="50"/>
      <x:c r="B28" s="46"/>
      <x:c r="C28" s="46"/>
      <x:c r="D28" s="46"/>
      <x:c r="E28" s="52"/>
      <x:c r="F28" s="46"/>
      <x:c r="G28" s="46"/>
      <x:c r="H28" s="48" t="str">
        <x:f>IF(OR(B28="",C28="",D28=""),"",IF(AND(C28&gt;=IFERROR(VLOOKUP(B28,'Exercise Library'!$A$5:$L$52,10,FALSE),999),D28&gt;=IFERROR(VLOOKUP(B28,'Exercise Library'!$A$5:$L$52,11,FALSE),999),D28&lt;=C28),"PASS","REPEAT"))</x:f>
      </x:c>
      <x:c r="I28" s="46"/>
      <x:c r="J28" s="46"/>
    </x:row>
    <x:row r="29" ht="31" customHeight="1">
      <x:c r="A29" s="50"/>
      <x:c r="B29" s="46"/>
      <x:c r="C29" s="46"/>
      <x:c r="D29" s="46"/>
      <x:c r="E29" s="52"/>
      <x:c r="F29" s="46"/>
      <x:c r="G29" s="46"/>
      <x:c r="H29" s="48" t="str">
        <x:f>IF(OR(B29="",C29="",D29=""),"",IF(AND(C29&gt;=IFERROR(VLOOKUP(B29,'Exercise Library'!$A$5:$L$52,10,FALSE),999),D29&gt;=IFERROR(VLOOKUP(B29,'Exercise Library'!$A$5:$L$52,11,FALSE),999),D29&lt;=C29),"PASS","REPEAT"))</x:f>
      </x:c>
      <x:c r="I29" s="46"/>
      <x:c r="J29" s="46"/>
    </x:row>
    <x:row r="30" ht="31" customHeight="1">
      <x:c r="A30" s="50"/>
      <x:c r="B30" s="46"/>
      <x:c r="C30" s="46"/>
      <x:c r="D30" s="46"/>
      <x:c r="E30" s="52"/>
      <x:c r="F30" s="46"/>
      <x:c r="G30" s="46"/>
      <x:c r="H30" s="48" t="str">
        <x:f>IF(OR(B30="",C30="",D30=""),"",IF(AND(C30&gt;=IFERROR(VLOOKUP(B30,'Exercise Library'!$A$5:$L$52,10,FALSE),999),D30&gt;=IFERROR(VLOOKUP(B30,'Exercise Library'!$A$5:$L$52,11,FALSE),999),D30&lt;=C30),"PASS","REPEAT"))</x:f>
      </x:c>
      <x:c r="I30" s="46"/>
      <x:c r="J30" s="46"/>
    </x:row>
    <x:row r="31" ht="31" customHeight="1">
      <x:c r="A31" s="50"/>
      <x:c r="B31" s="46"/>
      <x:c r="C31" s="46"/>
      <x:c r="D31" s="46"/>
      <x:c r="E31" s="52"/>
      <x:c r="F31" s="46"/>
      <x:c r="G31" s="46"/>
      <x:c r="H31" s="48" t="str">
        <x:f>IF(OR(B31="",C31="",D31=""),"",IF(AND(C31&gt;=IFERROR(VLOOKUP(B31,'Exercise Library'!$A$5:$L$52,10,FALSE),999),D31&gt;=IFERROR(VLOOKUP(B31,'Exercise Library'!$A$5:$L$52,11,FALSE),999),D31&lt;=C31),"PASS","REPEAT"))</x:f>
      </x:c>
      <x:c r="I31" s="46"/>
      <x:c r="J31" s="46"/>
    </x:row>
    <x:row r="32" ht="31" customHeight="1">
      <x:c r="A32" s="50"/>
      <x:c r="B32" s="46"/>
      <x:c r="C32" s="46"/>
      <x:c r="D32" s="46"/>
      <x:c r="E32" s="52"/>
      <x:c r="F32" s="46"/>
      <x:c r="G32" s="46"/>
      <x:c r="H32" s="48" t="str">
        <x:f>IF(OR(B32="",C32="",D32=""),"",IF(AND(C32&gt;=IFERROR(VLOOKUP(B32,'Exercise Library'!$A$5:$L$52,10,FALSE),999),D32&gt;=IFERROR(VLOOKUP(B32,'Exercise Library'!$A$5:$L$52,11,FALSE),999),D32&lt;=C32),"PASS","REPEAT"))</x:f>
      </x:c>
      <x:c r="I32" s="46"/>
      <x:c r="J32" s="46"/>
    </x:row>
    <x:row r="33" ht="31" customHeight="1">
      <x:c r="A33" s="50"/>
      <x:c r="B33" s="46"/>
      <x:c r="C33" s="46"/>
      <x:c r="D33" s="46"/>
      <x:c r="E33" s="52"/>
      <x:c r="F33" s="46"/>
      <x:c r="G33" s="46"/>
      <x:c r="H33" s="48" t="str">
        <x:f>IF(OR(B33="",C33="",D33=""),"",IF(AND(C33&gt;=IFERROR(VLOOKUP(B33,'Exercise Library'!$A$5:$L$52,10,FALSE),999),D33&gt;=IFERROR(VLOOKUP(B33,'Exercise Library'!$A$5:$L$52,11,FALSE),999),D33&lt;=C33),"PASS","REPEAT"))</x:f>
      </x:c>
      <x:c r="I33" s="46"/>
      <x:c r="J33" s="46"/>
    </x:row>
    <x:row r="34" ht="31" customHeight="1">
      <x:c r="A34" s="50"/>
      <x:c r="B34" s="46"/>
      <x:c r="C34" s="46"/>
      <x:c r="D34" s="46"/>
      <x:c r="E34" s="52"/>
      <x:c r="F34" s="46"/>
      <x:c r="G34" s="46"/>
      <x:c r="H34" s="48" t="str">
        <x:f>IF(OR(B34="",C34="",D34=""),"",IF(AND(C34&gt;=IFERROR(VLOOKUP(B34,'Exercise Library'!$A$5:$L$52,10,FALSE),999),D34&gt;=IFERROR(VLOOKUP(B34,'Exercise Library'!$A$5:$L$52,11,FALSE),999),D34&lt;=C34),"PASS","REPEAT"))</x:f>
      </x:c>
      <x:c r="I34" s="46"/>
      <x:c r="J34" s="46"/>
    </x:row>
    <x:row r="35" ht="31" customHeight="1">
      <x:c r="A35" s="50"/>
      <x:c r="B35" s="46"/>
      <x:c r="C35" s="46"/>
      <x:c r="D35" s="46"/>
      <x:c r="E35" s="52"/>
      <x:c r="F35" s="46"/>
      <x:c r="G35" s="46"/>
      <x:c r="H35" s="48" t="str">
        <x:f>IF(OR(B35="",C35="",D35=""),"",IF(AND(C35&gt;=IFERROR(VLOOKUP(B35,'Exercise Library'!$A$5:$L$52,10,FALSE),999),D35&gt;=IFERROR(VLOOKUP(B35,'Exercise Library'!$A$5:$L$52,11,FALSE),999),D35&lt;=C35),"PASS","REPEAT"))</x:f>
      </x:c>
      <x:c r="I35" s="46"/>
      <x:c r="J35" s="46"/>
    </x:row>
    <x:row r="36" ht="31" customHeight="1">
      <x:c r="A36" s="50"/>
      <x:c r="B36" s="46"/>
      <x:c r="C36" s="46"/>
      <x:c r="D36" s="46"/>
      <x:c r="E36" s="52"/>
      <x:c r="F36" s="46"/>
      <x:c r="G36" s="46"/>
      <x:c r="H36" s="48" t="str">
        <x:f>IF(OR(B36="",C36="",D36=""),"",IF(AND(C36&gt;=IFERROR(VLOOKUP(B36,'Exercise Library'!$A$5:$L$52,10,FALSE),999),D36&gt;=IFERROR(VLOOKUP(B36,'Exercise Library'!$A$5:$L$52,11,FALSE),999),D36&lt;=C36),"PASS","REPEAT"))</x:f>
      </x:c>
      <x:c r="I36" s="46"/>
      <x:c r="J36" s="46"/>
    </x:row>
    <x:row r="37" ht="31" customHeight="1">
      <x:c r="A37" s="50"/>
      <x:c r="B37" s="46"/>
      <x:c r="C37" s="46"/>
      <x:c r="D37" s="46"/>
      <x:c r="E37" s="52"/>
      <x:c r="F37" s="46"/>
      <x:c r="G37" s="46"/>
      <x:c r="H37" s="48" t="str">
        <x:f>IF(OR(B37="",C37="",D37=""),"",IF(AND(C37&gt;=IFERROR(VLOOKUP(B37,'Exercise Library'!$A$5:$L$52,10,FALSE),999),D37&gt;=IFERROR(VLOOKUP(B37,'Exercise Library'!$A$5:$L$52,11,FALSE),999),D37&lt;=C37),"PASS","REPEAT"))</x:f>
      </x:c>
      <x:c r="I37" s="46"/>
      <x:c r="J37" s="46"/>
    </x:row>
    <x:row r="38" ht="31" customHeight="1">
      <x:c r="A38" s="50"/>
      <x:c r="B38" s="46"/>
      <x:c r="C38" s="46"/>
      <x:c r="D38" s="46"/>
      <x:c r="E38" s="52"/>
      <x:c r="F38" s="46"/>
      <x:c r="G38" s="46"/>
      <x:c r="H38" s="48" t="str">
        <x:f>IF(OR(B38="",C38="",D38=""),"",IF(AND(C38&gt;=IFERROR(VLOOKUP(B38,'Exercise Library'!$A$5:$L$52,10,FALSE),999),D38&gt;=IFERROR(VLOOKUP(B38,'Exercise Library'!$A$5:$L$52,11,FALSE),999),D38&lt;=C38),"PASS","REPEAT"))</x:f>
      </x:c>
      <x:c r="I38" s="46"/>
      <x:c r="J38" s="46"/>
    </x:row>
    <x:row r="39" ht="31" customHeight="1">
      <x:c r="A39" s="50"/>
      <x:c r="B39" s="46"/>
      <x:c r="C39" s="46"/>
      <x:c r="D39" s="46"/>
      <x:c r="E39" s="52"/>
      <x:c r="F39" s="46"/>
      <x:c r="G39" s="46"/>
      <x:c r="H39" s="48" t="str">
        <x:f>IF(OR(B39="",C39="",D39=""),"",IF(AND(C39&gt;=IFERROR(VLOOKUP(B39,'Exercise Library'!$A$5:$L$52,10,FALSE),999),D39&gt;=IFERROR(VLOOKUP(B39,'Exercise Library'!$A$5:$L$52,11,FALSE),999),D39&lt;=C39),"PASS","REPEAT"))</x:f>
      </x:c>
      <x:c r="I39" s="46"/>
      <x:c r="J39" s="46"/>
    </x:row>
    <x:row r="40" ht="31" customHeight="1">
      <x:c r="A40" s="50"/>
      <x:c r="B40" s="46"/>
      <x:c r="C40" s="46"/>
      <x:c r="D40" s="46"/>
      <x:c r="E40" s="52"/>
      <x:c r="F40" s="46"/>
      <x:c r="G40" s="46"/>
      <x:c r="H40" s="48" t="str">
        <x:f>IF(OR(B40="",C40="",D40=""),"",IF(AND(C40&gt;=IFERROR(VLOOKUP(B40,'Exercise Library'!$A$5:$L$52,10,FALSE),999),D40&gt;=IFERROR(VLOOKUP(B40,'Exercise Library'!$A$5:$L$52,11,FALSE),999),D40&lt;=C40),"PASS","REPEAT"))</x:f>
      </x:c>
      <x:c r="I40" s="46"/>
      <x:c r="J40" s="46"/>
    </x:row>
    <x:row r="41" ht="31" customHeight="1">
      <x:c r="A41" s="50"/>
      <x:c r="B41" s="46"/>
      <x:c r="C41" s="46"/>
      <x:c r="D41" s="46"/>
      <x:c r="E41" s="52"/>
      <x:c r="F41" s="46"/>
      <x:c r="G41" s="46"/>
      <x:c r="H41" s="48" t="str">
        <x:f>IF(OR(B41="",C41="",D41=""),"",IF(AND(C41&gt;=IFERROR(VLOOKUP(B41,'Exercise Library'!$A$5:$L$52,10,FALSE),999),D41&gt;=IFERROR(VLOOKUP(B41,'Exercise Library'!$A$5:$L$52,11,FALSE),999),D41&lt;=C41),"PASS","REPEAT"))</x:f>
      </x:c>
      <x:c r="I41" s="46"/>
      <x:c r="J41" s="46"/>
    </x:row>
    <x:row r="42" ht="31" customHeight="1">
      <x:c r="A42" s="50"/>
      <x:c r="B42" s="46"/>
      <x:c r="C42" s="46"/>
      <x:c r="D42" s="46"/>
      <x:c r="E42" s="52"/>
      <x:c r="F42" s="46"/>
      <x:c r="G42" s="46"/>
      <x:c r="H42" s="48" t="str">
        <x:f>IF(OR(B42="",C42="",D42=""),"",IF(AND(C42&gt;=IFERROR(VLOOKUP(B42,'Exercise Library'!$A$5:$L$52,10,FALSE),999),D42&gt;=IFERROR(VLOOKUP(B42,'Exercise Library'!$A$5:$L$52,11,FALSE),999),D42&lt;=C42),"PASS","REPEAT"))</x:f>
      </x:c>
      <x:c r="I42" s="46"/>
      <x:c r="J42" s="46"/>
    </x:row>
    <x:row r="43" ht="31" customHeight="1">
      <x:c r="A43" s="50"/>
      <x:c r="B43" s="46"/>
      <x:c r="C43" s="46"/>
      <x:c r="D43" s="46"/>
      <x:c r="E43" s="52"/>
      <x:c r="F43" s="46"/>
      <x:c r="G43" s="46"/>
      <x:c r="H43" s="48" t="str">
        <x:f>IF(OR(B43="",C43="",D43=""),"",IF(AND(C43&gt;=IFERROR(VLOOKUP(B43,'Exercise Library'!$A$5:$L$52,10,FALSE),999),D43&gt;=IFERROR(VLOOKUP(B43,'Exercise Library'!$A$5:$L$52,11,FALSE),999),D43&lt;=C43),"PASS","REPEAT"))</x:f>
      </x:c>
      <x:c r="I43" s="46"/>
      <x:c r="J43" s="46"/>
    </x:row>
    <x:row r="44" ht="31" customHeight="1">
      <x:c r="A44" s="50"/>
      <x:c r="B44" s="46"/>
      <x:c r="C44" s="46"/>
      <x:c r="D44" s="46"/>
      <x:c r="E44" s="52"/>
      <x:c r="F44" s="46"/>
      <x:c r="G44" s="46"/>
      <x:c r="H44" s="48" t="str">
        <x:f>IF(OR(B44="",C44="",D44=""),"",IF(AND(C44&gt;=IFERROR(VLOOKUP(B44,'Exercise Library'!$A$5:$L$52,10,FALSE),999),D44&gt;=IFERROR(VLOOKUP(B44,'Exercise Library'!$A$5:$L$52,11,FALSE),999),D44&lt;=C44),"PASS","REPEAT"))</x:f>
      </x:c>
      <x:c r="I44" s="46"/>
      <x:c r="J44" s="46"/>
    </x:row>
    <x:row r="45" ht="31" customHeight="1">
      <x:c r="A45" s="50"/>
      <x:c r="B45" s="46"/>
      <x:c r="C45" s="46"/>
      <x:c r="D45" s="46"/>
      <x:c r="E45" s="52"/>
      <x:c r="F45" s="46"/>
      <x:c r="G45" s="46"/>
      <x:c r="H45" s="48" t="str">
        <x:f>IF(OR(B45="",C45="",D45=""),"",IF(AND(C45&gt;=IFERROR(VLOOKUP(B45,'Exercise Library'!$A$5:$L$52,10,FALSE),999),D45&gt;=IFERROR(VLOOKUP(B45,'Exercise Library'!$A$5:$L$52,11,FALSE),999),D45&lt;=C45),"PASS","REPEAT"))</x:f>
      </x:c>
      <x:c r="I45" s="46"/>
      <x:c r="J45" s="46"/>
    </x:row>
    <x:row r="46" ht="31" customHeight="1">
      <x:c r="A46" s="50"/>
      <x:c r="B46" s="46"/>
      <x:c r="C46" s="46"/>
      <x:c r="D46" s="46"/>
      <x:c r="E46" s="52"/>
      <x:c r="F46" s="46"/>
      <x:c r="G46" s="46"/>
      <x:c r="H46" s="48" t="str">
        <x:f>IF(OR(B46="",C46="",D46=""),"",IF(AND(C46&gt;=IFERROR(VLOOKUP(B46,'Exercise Library'!$A$5:$L$52,10,FALSE),999),D46&gt;=IFERROR(VLOOKUP(B46,'Exercise Library'!$A$5:$L$52,11,FALSE),999),D46&lt;=C46),"PASS","REPEAT"))</x:f>
      </x:c>
      <x:c r="I46" s="46"/>
      <x:c r="J46" s="46"/>
    </x:row>
    <x:row r="47" ht="31" customHeight="1">
      <x:c r="A47" s="50"/>
      <x:c r="B47" s="46"/>
      <x:c r="C47" s="46"/>
      <x:c r="D47" s="46"/>
      <x:c r="E47" s="52"/>
      <x:c r="F47" s="46"/>
      <x:c r="G47" s="46"/>
      <x:c r="H47" s="48" t="str">
        <x:f>IF(OR(B47="",C47="",D47=""),"",IF(AND(C47&gt;=IFERROR(VLOOKUP(B47,'Exercise Library'!$A$5:$L$52,10,FALSE),999),D47&gt;=IFERROR(VLOOKUP(B47,'Exercise Library'!$A$5:$L$52,11,FALSE),999),D47&lt;=C47),"PASS","REPEAT"))</x:f>
      </x:c>
      <x:c r="I47" s="46"/>
      <x:c r="J47" s="46"/>
    </x:row>
    <x:row r="48" ht="31" customHeight="1">
      <x:c r="A48" s="50"/>
      <x:c r="B48" s="46"/>
      <x:c r="C48" s="46"/>
      <x:c r="D48" s="46"/>
      <x:c r="E48" s="52"/>
      <x:c r="F48" s="46"/>
      <x:c r="G48" s="46"/>
      <x:c r="H48" s="48" t="str">
        <x:f>IF(OR(B48="",C48="",D48=""),"",IF(AND(C48&gt;=IFERROR(VLOOKUP(B48,'Exercise Library'!$A$5:$L$52,10,FALSE),999),D48&gt;=IFERROR(VLOOKUP(B48,'Exercise Library'!$A$5:$L$52,11,FALSE),999),D48&lt;=C48),"PASS","REPEAT"))</x:f>
      </x:c>
      <x:c r="I48" s="46"/>
      <x:c r="J48" s="46"/>
    </x:row>
    <x:row r="49" ht="31" customHeight="1">
      <x:c r="A49" s="50"/>
      <x:c r="B49" s="46"/>
      <x:c r="C49" s="46"/>
      <x:c r="D49" s="46"/>
      <x:c r="E49" s="52"/>
      <x:c r="F49" s="46"/>
      <x:c r="G49" s="46"/>
      <x:c r="H49" s="48" t="str">
        <x:f>IF(OR(B49="",C49="",D49=""),"",IF(AND(C49&gt;=IFERROR(VLOOKUP(B49,'Exercise Library'!$A$5:$L$52,10,FALSE),999),D49&gt;=IFERROR(VLOOKUP(B49,'Exercise Library'!$A$5:$L$52,11,FALSE),999),D49&lt;=C49),"PASS","REPEAT"))</x:f>
      </x:c>
      <x:c r="I49" s="46"/>
      <x:c r="J49" s="46"/>
    </x:row>
    <x:row r="50" ht="31" customHeight="1">
      <x:c r="A50" s="50"/>
      <x:c r="B50" s="46"/>
      <x:c r="C50" s="46"/>
      <x:c r="D50" s="46"/>
      <x:c r="E50" s="52"/>
      <x:c r="F50" s="46"/>
      <x:c r="G50" s="46"/>
      <x:c r="H50" s="48" t="str">
        <x:f>IF(OR(B50="",C50="",D50=""),"",IF(AND(C50&gt;=IFERROR(VLOOKUP(B50,'Exercise Library'!$A$5:$L$52,10,FALSE),999),D50&gt;=IFERROR(VLOOKUP(B50,'Exercise Library'!$A$5:$L$52,11,FALSE),999),D50&lt;=C50),"PASS","REPEAT"))</x:f>
      </x:c>
      <x:c r="I50" s="46"/>
      <x:c r="J50" s="46"/>
    </x:row>
    <x:row r="51" ht="31" customHeight="1">
      <x:c r="A51" s="50"/>
      <x:c r="B51" s="46"/>
      <x:c r="C51" s="46"/>
      <x:c r="D51" s="46"/>
      <x:c r="E51" s="52"/>
      <x:c r="F51" s="46"/>
      <x:c r="G51" s="46"/>
      <x:c r="H51" s="48" t="str">
        <x:f>IF(OR(B51="",C51="",D51=""),"",IF(AND(C51&gt;=IFERROR(VLOOKUP(B51,'Exercise Library'!$A$5:$L$52,10,FALSE),999),D51&gt;=IFERROR(VLOOKUP(B51,'Exercise Library'!$A$5:$L$52,11,FALSE),999),D51&lt;=C51),"PASS","REPEAT"))</x:f>
      </x:c>
      <x:c r="I51" s="46"/>
      <x:c r="J51" s="46"/>
    </x:row>
    <x:row r="52" ht="31" customHeight="1">
      <x:c r="A52" s="50"/>
      <x:c r="B52" s="46"/>
      <x:c r="C52" s="46"/>
      <x:c r="D52" s="46"/>
      <x:c r="E52" s="52"/>
      <x:c r="F52" s="46"/>
      <x:c r="G52" s="46"/>
      <x:c r="H52" s="48" t="str">
        <x:f>IF(OR(B52="",C52="",D52=""),"",IF(AND(C52&gt;=IFERROR(VLOOKUP(B52,'Exercise Library'!$A$5:$L$52,10,FALSE),999),D52&gt;=IFERROR(VLOOKUP(B52,'Exercise Library'!$A$5:$L$52,11,FALSE),999),D52&lt;=C52),"PASS","REPEAT"))</x:f>
      </x:c>
      <x:c r="I52" s="46"/>
      <x:c r="J52" s="46"/>
    </x:row>
    <x:row r="53" ht="31" customHeight="1">
      <x:c r="A53" s="50"/>
      <x:c r="B53" s="46"/>
      <x:c r="C53" s="46"/>
      <x:c r="D53" s="46"/>
      <x:c r="E53" s="52"/>
      <x:c r="F53" s="46"/>
      <x:c r="G53" s="46"/>
      <x:c r="H53" s="48" t="str">
        <x:f>IF(OR(B53="",C53="",D53=""),"",IF(AND(C53&gt;=IFERROR(VLOOKUP(B53,'Exercise Library'!$A$5:$L$52,10,FALSE),999),D53&gt;=IFERROR(VLOOKUP(B53,'Exercise Library'!$A$5:$L$52,11,FALSE),999),D53&lt;=C53),"PASS","REPEAT"))</x:f>
      </x:c>
      <x:c r="I53" s="46"/>
      <x:c r="J53" s="46"/>
    </x:row>
    <x:row r="54" ht="31" customHeight="1">
      <x:c r="A54" s="50"/>
      <x:c r="B54" s="46"/>
      <x:c r="C54" s="46"/>
      <x:c r="D54" s="46"/>
      <x:c r="E54" s="52"/>
      <x:c r="F54" s="46"/>
      <x:c r="G54" s="46"/>
      <x:c r="H54" s="48" t="str">
        <x:f>IF(OR(B54="",C54="",D54=""),"",IF(AND(C54&gt;=IFERROR(VLOOKUP(B54,'Exercise Library'!$A$5:$L$52,10,FALSE),999),D54&gt;=IFERROR(VLOOKUP(B54,'Exercise Library'!$A$5:$L$52,11,FALSE),999),D54&lt;=C54),"PASS","REPEAT"))</x:f>
      </x:c>
      <x:c r="I54" s="46"/>
      <x:c r="J54" s="46"/>
    </x:row>
    <x:row r="55" ht="31" customHeight="1">
      <x:c r="A55" s="50"/>
      <x:c r="B55" s="46"/>
      <x:c r="C55" s="46"/>
      <x:c r="D55" s="46"/>
      <x:c r="E55" s="52"/>
      <x:c r="F55" s="46"/>
      <x:c r="G55" s="46"/>
      <x:c r="H55" s="48" t="str">
        <x:f>IF(OR(B55="",C55="",D55=""),"",IF(AND(C55&gt;=IFERROR(VLOOKUP(B55,'Exercise Library'!$A$5:$L$52,10,FALSE),999),D55&gt;=IFERROR(VLOOKUP(B55,'Exercise Library'!$A$5:$L$52,11,FALSE),999),D55&lt;=C55),"PASS","REPEAT"))</x:f>
      </x:c>
      <x:c r="I55" s="46"/>
      <x:c r="J55" s="46"/>
    </x:row>
    <x:row r="56" ht="31" customHeight="1">
      <x:c r="A56" s="50"/>
      <x:c r="B56" s="46"/>
      <x:c r="C56" s="46"/>
      <x:c r="D56" s="46"/>
      <x:c r="E56" s="52"/>
      <x:c r="F56" s="46"/>
      <x:c r="G56" s="46"/>
      <x:c r="H56" s="48" t="str">
        <x:f>IF(OR(B56="",C56="",D56=""),"",IF(AND(C56&gt;=IFERROR(VLOOKUP(B56,'Exercise Library'!$A$5:$L$52,10,FALSE),999),D56&gt;=IFERROR(VLOOKUP(B56,'Exercise Library'!$A$5:$L$52,11,FALSE),999),D56&lt;=C56),"PASS","REPEAT"))</x:f>
      </x:c>
      <x:c r="I56" s="46"/>
      <x:c r="J56" s="46"/>
    </x:row>
    <x:row r="57" ht="31" customHeight="1">
      <x:c r="A57" s="50"/>
      <x:c r="B57" s="46"/>
      <x:c r="C57" s="46"/>
      <x:c r="D57" s="46"/>
      <x:c r="E57" s="52"/>
      <x:c r="F57" s="46"/>
      <x:c r="G57" s="46"/>
      <x:c r="H57" s="48" t="str">
        <x:f>IF(OR(B57="",C57="",D57=""),"",IF(AND(C57&gt;=IFERROR(VLOOKUP(B57,'Exercise Library'!$A$5:$L$52,10,FALSE),999),D57&gt;=IFERROR(VLOOKUP(B57,'Exercise Library'!$A$5:$L$52,11,FALSE),999),D57&lt;=C57),"PASS","REPEAT"))</x:f>
      </x:c>
      <x:c r="I57" s="46"/>
      <x:c r="J57" s="46"/>
    </x:row>
    <x:row r="58" ht="31" customHeight="1">
      <x:c r="A58" s="50"/>
      <x:c r="B58" s="46"/>
      <x:c r="C58" s="46"/>
      <x:c r="D58" s="46"/>
      <x:c r="E58" s="52"/>
      <x:c r="F58" s="46"/>
      <x:c r="G58" s="46"/>
      <x:c r="H58" s="48" t="str">
        <x:f>IF(OR(B58="",C58="",D58=""),"",IF(AND(C58&gt;=IFERROR(VLOOKUP(B58,'Exercise Library'!$A$5:$L$52,10,FALSE),999),D58&gt;=IFERROR(VLOOKUP(B58,'Exercise Library'!$A$5:$L$52,11,FALSE),999),D58&lt;=C58),"PASS","REPEAT"))</x:f>
      </x:c>
      <x:c r="I58" s="46"/>
      <x:c r="J58" s="46"/>
    </x:row>
    <x:row r="59" ht="31" customHeight="1">
      <x:c r="A59" s="50"/>
      <x:c r="B59" s="46"/>
      <x:c r="C59" s="46"/>
      <x:c r="D59" s="46"/>
      <x:c r="E59" s="52"/>
      <x:c r="F59" s="46"/>
      <x:c r="G59" s="46"/>
      <x:c r="H59" s="48" t="str">
        <x:f>IF(OR(B59="",C59="",D59=""),"",IF(AND(C59&gt;=IFERROR(VLOOKUP(B59,'Exercise Library'!$A$5:$L$52,10,FALSE),999),D59&gt;=IFERROR(VLOOKUP(B59,'Exercise Library'!$A$5:$L$52,11,FALSE),999),D59&lt;=C59),"PASS","REPEAT"))</x:f>
      </x:c>
      <x:c r="I59" s="46"/>
      <x:c r="J59" s="46"/>
    </x:row>
    <x:row r="60" ht="31" customHeight="1">
      <x:c r="A60" s="50"/>
      <x:c r="B60" s="46"/>
      <x:c r="C60" s="46"/>
      <x:c r="D60" s="46"/>
      <x:c r="E60" s="52"/>
      <x:c r="F60" s="46"/>
      <x:c r="G60" s="46"/>
      <x:c r="H60" s="48" t="str">
        <x:f>IF(OR(B60="",C60="",D60=""),"",IF(AND(C60&gt;=IFERROR(VLOOKUP(B60,'Exercise Library'!$A$5:$L$52,10,FALSE),999),D60&gt;=IFERROR(VLOOKUP(B60,'Exercise Library'!$A$5:$L$52,11,FALSE),999),D60&lt;=C60),"PASS","REPEAT"))</x:f>
      </x:c>
      <x:c r="I60" s="46"/>
      <x:c r="J60" s="46"/>
    </x:row>
    <x:row r="61" ht="31" customHeight="1">
      <x:c r="A61" s="50"/>
      <x:c r="B61" s="46"/>
      <x:c r="C61" s="46"/>
      <x:c r="D61" s="46"/>
      <x:c r="E61" s="52"/>
      <x:c r="F61" s="46"/>
      <x:c r="G61" s="46"/>
      <x:c r="H61" s="48" t="str">
        <x:f>IF(OR(B61="",C61="",D61=""),"",IF(AND(C61&gt;=IFERROR(VLOOKUP(B61,'Exercise Library'!$A$5:$L$52,10,FALSE),999),D61&gt;=IFERROR(VLOOKUP(B61,'Exercise Library'!$A$5:$L$52,11,FALSE),999),D61&lt;=C61),"PASS","REPEAT"))</x:f>
      </x:c>
      <x:c r="I61" s="46"/>
      <x:c r="J61" s="46"/>
    </x:row>
    <x:row r="62" ht="31" customHeight="1">
      <x:c r="A62" s="50"/>
      <x:c r="B62" s="46"/>
      <x:c r="C62" s="46"/>
      <x:c r="D62" s="46"/>
      <x:c r="E62" s="52"/>
      <x:c r="F62" s="46"/>
      <x:c r="G62" s="46"/>
      <x:c r="H62" s="48" t="str">
        <x:f>IF(OR(B62="",C62="",D62=""),"",IF(AND(C62&gt;=IFERROR(VLOOKUP(B62,'Exercise Library'!$A$5:$L$52,10,FALSE),999),D62&gt;=IFERROR(VLOOKUP(B62,'Exercise Library'!$A$5:$L$52,11,FALSE),999),D62&lt;=C62),"PASS","REPEAT"))</x:f>
      </x:c>
      <x:c r="I62" s="46"/>
      <x:c r="J62" s="46"/>
    </x:row>
    <x:row r="63" ht="31" customHeight="1">
      <x:c r="A63" s="50"/>
      <x:c r="B63" s="46"/>
      <x:c r="C63" s="46"/>
      <x:c r="D63" s="46"/>
      <x:c r="E63" s="52"/>
      <x:c r="F63" s="46"/>
      <x:c r="G63" s="46"/>
      <x:c r="H63" s="48" t="str">
        <x:f>IF(OR(B63="",C63="",D63=""),"",IF(AND(C63&gt;=IFERROR(VLOOKUP(B63,'Exercise Library'!$A$5:$L$52,10,FALSE),999),D63&gt;=IFERROR(VLOOKUP(B63,'Exercise Library'!$A$5:$L$52,11,FALSE),999),D63&lt;=C63),"PASS","REPEAT"))</x:f>
      </x:c>
      <x:c r="I63" s="46"/>
      <x:c r="J63" s="46"/>
    </x:row>
    <x:row r="64" ht="31" customHeight="1">
      <x:c r="A64" s="50"/>
      <x:c r="B64" s="46"/>
      <x:c r="C64" s="46"/>
      <x:c r="D64" s="46"/>
      <x:c r="E64" s="52"/>
      <x:c r="F64" s="46"/>
      <x:c r="G64" s="46"/>
      <x:c r="H64" s="48" t="str">
        <x:f>IF(OR(B64="",C64="",D64=""),"",IF(AND(C64&gt;=IFERROR(VLOOKUP(B64,'Exercise Library'!$A$5:$L$52,10,FALSE),999),D64&gt;=IFERROR(VLOOKUP(B64,'Exercise Library'!$A$5:$L$52,11,FALSE),999),D64&lt;=C64),"PASS","REPEAT"))</x:f>
      </x:c>
      <x:c r="I64" s="46"/>
      <x:c r="J64" s="46"/>
    </x:row>
    <x:row r="65" ht="31" customHeight="1">
      <x:c r="A65" s="50"/>
      <x:c r="B65" s="46"/>
      <x:c r="C65" s="46"/>
      <x:c r="D65" s="46"/>
      <x:c r="E65" s="52"/>
      <x:c r="F65" s="46"/>
      <x:c r="G65" s="46"/>
      <x:c r="H65" s="48" t="str">
        <x:f>IF(OR(B65="",C65="",D65=""),"",IF(AND(C65&gt;=IFERROR(VLOOKUP(B65,'Exercise Library'!$A$5:$L$52,10,FALSE),999),D65&gt;=IFERROR(VLOOKUP(B65,'Exercise Library'!$A$5:$L$52,11,FALSE),999),D65&lt;=C65),"PASS","REPEAT"))</x:f>
      </x:c>
      <x:c r="I65" s="46"/>
      <x:c r="J65" s="46"/>
    </x:row>
    <x:row r="66" ht="31" customHeight="1">
      <x:c r="A66" s="50"/>
      <x:c r="B66" s="46"/>
      <x:c r="C66" s="46"/>
      <x:c r="D66" s="46"/>
      <x:c r="E66" s="52"/>
      <x:c r="F66" s="46"/>
      <x:c r="G66" s="46"/>
      <x:c r="H66" s="48" t="str">
        <x:f>IF(OR(B66="",C66="",D66=""),"",IF(AND(C66&gt;=IFERROR(VLOOKUP(B66,'Exercise Library'!$A$5:$L$52,10,FALSE),999),D66&gt;=IFERROR(VLOOKUP(B66,'Exercise Library'!$A$5:$L$52,11,FALSE),999),D66&lt;=C66),"PASS","REPEAT"))</x:f>
      </x:c>
      <x:c r="I66" s="46"/>
      <x:c r="J66" s="46"/>
    </x:row>
    <x:row r="67" ht="31" customHeight="1">
      <x:c r="A67" s="50"/>
      <x:c r="B67" s="46"/>
      <x:c r="C67" s="46"/>
      <x:c r="D67" s="46"/>
      <x:c r="E67" s="52"/>
      <x:c r="F67" s="46"/>
      <x:c r="G67" s="46"/>
      <x:c r="H67" s="48" t="str">
        <x:f>IF(OR(B67="",C67="",D67=""),"",IF(AND(C67&gt;=IFERROR(VLOOKUP(B67,'Exercise Library'!$A$5:$L$52,10,FALSE),999),D67&gt;=IFERROR(VLOOKUP(B67,'Exercise Library'!$A$5:$L$52,11,FALSE),999),D67&lt;=C67),"PASS","REPEAT"))</x:f>
      </x:c>
      <x:c r="I67" s="46"/>
      <x:c r="J67" s="46"/>
    </x:row>
    <x:row r="68" ht="31" customHeight="1">
      <x:c r="A68" s="50"/>
      <x:c r="B68" s="46"/>
      <x:c r="C68" s="46"/>
      <x:c r="D68" s="46"/>
      <x:c r="E68" s="52"/>
      <x:c r="F68" s="46"/>
      <x:c r="G68" s="46"/>
      <x:c r="H68" s="48" t="str">
        <x:f>IF(OR(B68="",C68="",D68=""),"",IF(AND(C68&gt;=IFERROR(VLOOKUP(B68,'Exercise Library'!$A$5:$L$52,10,FALSE),999),D68&gt;=IFERROR(VLOOKUP(B68,'Exercise Library'!$A$5:$L$52,11,FALSE),999),D68&lt;=C68),"PASS","REPEAT"))</x:f>
      </x:c>
      <x:c r="I68" s="46"/>
      <x:c r="J68" s="46"/>
    </x:row>
    <x:row r="69" ht="31" customHeight="1">
      <x:c r="A69" s="50"/>
      <x:c r="B69" s="46"/>
      <x:c r="C69" s="46"/>
      <x:c r="D69" s="46"/>
      <x:c r="E69" s="52"/>
      <x:c r="F69" s="46"/>
      <x:c r="G69" s="46"/>
      <x:c r="H69" s="48" t="str">
        <x:f>IF(OR(B69="",C69="",D69=""),"",IF(AND(C69&gt;=IFERROR(VLOOKUP(B69,'Exercise Library'!$A$5:$L$52,10,FALSE),999),D69&gt;=IFERROR(VLOOKUP(B69,'Exercise Library'!$A$5:$L$52,11,FALSE),999),D69&lt;=C69),"PASS","REPEAT"))</x:f>
      </x:c>
      <x:c r="I69" s="46"/>
      <x:c r="J69" s="46"/>
    </x:row>
    <x:row r="70" ht="31" customHeight="1">
      <x:c r="A70" s="50"/>
      <x:c r="B70" s="46"/>
      <x:c r="C70" s="46"/>
      <x:c r="D70" s="46"/>
      <x:c r="E70" s="52"/>
      <x:c r="F70" s="46"/>
      <x:c r="G70" s="46"/>
      <x:c r="H70" s="48" t="str">
        <x:f>IF(OR(B70="",C70="",D70=""),"",IF(AND(C70&gt;=IFERROR(VLOOKUP(B70,'Exercise Library'!$A$5:$L$52,10,FALSE),999),D70&gt;=IFERROR(VLOOKUP(B70,'Exercise Library'!$A$5:$L$52,11,FALSE),999),D70&lt;=C70),"PASS","REPEAT"))</x:f>
      </x:c>
      <x:c r="I70" s="46"/>
      <x:c r="J70" s="46"/>
    </x:row>
    <x:row r="71" ht="31" customHeight="1">
      <x:c r="A71" s="50"/>
      <x:c r="B71" s="46"/>
      <x:c r="C71" s="46"/>
      <x:c r="D71" s="46"/>
      <x:c r="E71" s="52"/>
      <x:c r="F71" s="46"/>
      <x:c r="G71" s="46"/>
      <x:c r="H71" s="48" t="str">
        <x:f>IF(OR(B71="",C71="",D71=""),"",IF(AND(C71&gt;=IFERROR(VLOOKUP(B71,'Exercise Library'!$A$5:$L$52,10,FALSE),999),D71&gt;=IFERROR(VLOOKUP(B71,'Exercise Library'!$A$5:$L$52,11,FALSE),999),D71&lt;=C71),"PASS","REPEAT"))</x:f>
      </x:c>
      <x:c r="I71" s="46"/>
      <x:c r="J71" s="46"/>
    </x:row>
    <x:row r="72" ht="31" customHeight="1">
      <x:c r="A72" s="50"/>
      <x:c r="B72" s="46"/>
      <x:c r="C72" s="46"/>
      <x:c r="D72" s="46"/>
      <x:c r="E72" s="52"/>
      <x:c r="F72" s="46"/>
      <x:c r="G72" s="46"/>
      <x:c r="H72" s="48" t="str">
        <x:f>IF(OR(B72="",C72="",D72=""),"",IF(AND(C72&gt;=IFERROR(VLOOKUP(B72,'Exercise Library'!$A$5:$L$52,10,FALSE),999),D72&gt;=IFERROR(VLOOKUP(B72,'Exercise Library'!$A$5:$L$52,11,FALSE),999),D72&lt;=C72),"PASS","REPEAT"))</x:f>
      </x:c>
      <x:c r="I72" s="46"/>
      <x:c r="J72" s="46"/>
    </x:row>
    <x:row r="73" ht="31" customHeight="1">
      <x:c r="A73" s="50"/>
      <x:c r="B73" s="46"/>
      <x:c r="C73" s="46"/>
      <x:c r="D73" s="46"/>
      <x:c r="E73" s="52"/>
      <x:c r="F73" s="46"/>
      <x:c r="G73" s="46"/>
      <x:c r="H73" s="48" t="str">
        <x:f>IF(OR(B73="",C73="",D73=""),"",IF(AND(C73&gt;=IFERROR(VLOOKUP(B73,'Exercise Library'!$A$5:$L$52,10,FALSE),999),D73&gt;=IFERROR(VLOOKUP(B73,'Exercise Library'!$A$5:$L$52,11,FALSE),999),D73&lt;=C73),"PASS","REPEAT"))</x:f>
      </x:c>
      <x:c r="I73" s="46"/>
      <x:c r="J73" s="46"/>
    </x:row>
    <x:row r="74" ht="31" customHeight="1">
      <x:c r="A74" s="50"/>
      <x:c r="B74" s="46"/>
      <x:c r="C74" s="46"/>
      <x:c r="D74" s="46"/>
      <x:c r="E74" s="52"/>
      <x:c r="F74" s="46"/>
      <x:c r="G74" s="46"/>
      <x:c r="H74" s="48" t="str">
        <x:f>IF(OR(B74="",C74="",D74=""),"",IF(AND(C74&gt;=IFERROR(VLOOKUP(B74,'Exercise Library'!$A$5:$L$52,10,FALSE),999),D74&gt;=IFERROR(VLOOKUP(B74,'Exercise Library'!$A$5:$L$52,11,FALSE),999),D74&lt;=C74),"PASS","REPEAT"))</x:f>
      </x:c>
      <x:c r="I74" s="46"/>
      <x:c r="J74" s="46"/>
    </x:row>
    <x:row r="75" ht="31" customHeight="1">
      <x:c r="A75" s="50"/>
      <x:c r="B75" s="46"/>
      <x:c r="C75" s="46"/>
      <x:c r="D75" s="46"/>
      <x:c r="E75" s="52"/>
      <x:c r="F75" s="46"/>
      <x:c r="G75" s="46"/>
      <x:c r="H75" s="48" t="str">
        <x:f>IF(OR(B75="",C75="",D75=""),"",IF(AND(C75&gt;=IFERROR(VLOOKUP(B75,'Exercise Library'!$A$5:$L$52,10,FALSE),999),D75&gt;=IFERROR(VLOOKUP(B75,'Exercise Library'!$A$5:$L$52,11,FALSE),999),D75&lt;=C75),"PASS","REPEAT"))</x:f>
      </x:c>
      <x:c r="I75" s="46"/>
      <x:c r="J75" s="46"/>
    </x:row>
    <x:row r="76" ht="31" customHeight="1">
      <x:c r="A76" s="50"/>
      <x:c r="B76" s="46"/>
      <x:c r="C76" s="46"/>
      <x:c r="D76" s="46"/>
      <x:c r="E76" s="52"/>
      <x:c r="F76" s="46"/>
      <x:c r="G76" s="46"/>
      <x:c r="H76" s="48" t="str">
        <x:f>IF(OR(B76="",C76="",D76=""),"",IF(AND(C76&gt;=IFERROR(VLOOKUP(B76,'Exercise Library'!$A$5:$L$52,10,FALSE),999),D76&gt;=IFERROR(VLOOKUP(B76,'Exercise Library'!$A$5:$L$52,11,FALSE),999),D76&lt;=C76),"PASS","REPEAT"))</x:f>
      </x:c>
      <x:c r="I76" s="46"/>
      <x:c r="J76" s="46"/>
    </x:row>
    <x:row r="77" ht="31" customHeight="1">
      <x:c r="A77" s="50"/>
      <x:c r="B77" s="46"/>
      <x:c r="C77" s="46"/>
      <x:c r="D77" s="46"/>
      <x:c r="E77" s="52"/>
      <x:c r="F77" s="46"/>
      <x:c r="G77" s="46"/>
      <x:c r="H77" s="48" t="str">
        <x:f>IF(OR(B77="",C77="",D77=""),"",IF(AND(C77&gt;=IFERROR(VLOOKUP(B77,'Exercise Library'!$A$5:$L$52,10,FALSE),999),D77&gt;=IFERROR(VLOOKUP(B77,'Exercise Library'!$A$5:$L$52,11,FALSE),999),D77&lt;=C77),"PASS","REPEAT"))</x:f>
      </x:c>
      <x:c r="I77" s="46"/>
      <x:c r="J77" s="46"/>
    </x:row>
    <x:row r="78" ht="31" customHeight="1">
      <x:c r="A78" s="50"/>
      <x:c r="B78" s="46"/>
      <x:c r="C78" s="46"/>
      <x:c r="D78" s="46"/>
      <x:c r="E78" s="52"/>
      <x:c r="F78" s="46"/>
      <x:c r="G78" s="46"/>
      <x:c r="H78" s="48" t="str">
        <x:f>IF(OR(B78="",C78="",D78=""),"",IF(AND(C78&gt;=IFERROR(VLOOKUP(B78,'Exercise Library'!$A$5:$L$52,10,FALSE),999),D78&gt;=IFERROR(VLOOKUP(B78,'Exercise Library'!$A$5:$L$52,11,FALSE),999),D78&lt;=C78),"PASS","REPEAT"))</x:f>
      </x:c>
      <x:c r="I78" s="46"/>
      <x:c r="J78" s="46"/>
    </x:row>
    <x:row r="79" ht="31" customHeight="1">
      <x:c r="A79" s="50"/>
      <x:c r="B79" s="46"/>
      <x:c r="C79" s="46"/>
      <x:c r="D79" s="46"/>
      <x:c r="E79" s="52"/>
      <x:c r="F79" s="46"/>
      <x:c r="G79" s="46"/>
      <x:c r="H79" s="48" t="str">
        <x:f>IF(OR(B79="",C79="",D79=""),"",IF(AND(C79&gt;=IFERROR(VLOOKUP(B79,'Exercise Library'!$A$5:$L$52,10,FALSE),999),D79&gt;=IFERROR(VLOOKUP(B79,'Exercise Library'!$A$5:$L$52,11,FALSE),999),D79&lt;=C79),"PASS","REPEAT"))</x:f>
      </x:c>
      <x:c r="I79" s="46"/>
      <x:c r="J79" s="46"/>
    </x:row>
    <x:row r="80" ht="31" customHeight="1">
      <x:c r="A80" s="50"/>
      <x:c r="B80" s="46"/>
      <x:c r="C80" s="46"/>
      <x:c r="D80" s="46"/>
      <x:c r="E80" s="52"/>
      <x:c r="F80" s="46"/>
      <x:c r="G80" s="46"/>
      <x:c r="H80" s="48" t="str">
        <x:f>IF(OR(B80="",C80="",D80=""),"",IF(AND(C80&gt;=IFERROR(VLOOKUP(B80,'Exercise Library'!$A$5:$L$52,10,FALSE),999),D80&gt;=IFERROR(VLOOKUP(B80,'Exercise Library'!$A$5:$L$52,11,FALSE),999),D80&lt;=C80),"PASS","REPEAT"))</x:f>
      </x:c>
      <x:c r="I80" s="46"/>
      <x:c r="J80" s="46"/>
    </x:row>
    <x:row r="81" ht="31" customHeight="1">
      <x:c r="A81" s="50"/>
      <x:c r="B81" s="46"/>
      <x:c r="C81" s="46"/>
      <x:c r="D81" s="46"/>
      <x:c r="E81" s="52"/>
      <x:c r="F81" s="46"/>
      <x:c r="G81" s="46"/>
      <x:c r="H81" s="48" t="str">
        <x:f>IF(OR(B81="",C81="",D81=""),"",IF(AND(C81&gt;=IFERROR(VLOOKUP(B81,'Exercise Library'!$A$5:$L$52,10,FALSE),999),D81&gt;=IFERROR(VLOOKUP(B81,'Exercise Library'!$A$5:$L$52,11,FALSE),999),D81&lt;=C81),"PASS","REPEAT"))</x:f>
      </x:c>
      <x:c r="I81" s="46"/>
      <x:c r="J81" s="46"/>
    </x:row>
    <x:row r="82" ht="31" customHeight="1">
      <x:c r="A82" s="50"/>
      <x:c r="B82" s="46"/>
      <x:c r="C82" s="46"/>
      <x:c r="D82" s="46"/>
      <x:c r="E82" s="52"/>
      <x:c r="F82" s="46"/>
      <x:c r="G82" s="46"/>
      <x:c r="H82" s="48" t="str">
        <x:f>IF(OR(B82="",C82="",D82=""),"",IF(AND(C82&gt;=IFERROR(VLOOKUP(B82,'Exercise Library'!$A$5:$L$52,10,FALSE),999),D82&gt;=IFERROR(VLOOKUP(B82,'Exercise Library'!$A$5:$L$52,11,FALSE),999),D82&lt;=C82),"PASS","REPEAT"))</x:f>
      </x:c>
      <x:c r="I82" s="46"/>
      <x:c r="J82" s="46"/>
    </x:row>
    <x:row r="83" ht="31" customHeight="1">
      <x:c r="A83" s="50"/>
      <x:c r="B83" s="46"/>
      <x:c r="C83" s="46"/>
      <x:c r="D83" s="46"/>
      <x:c r="E83" s="52"/>
      <x:c r="F83" s="46"/>
      <x:c r="G83" s="46"/>
      <x:c r="H83" s="48" t="str">
        <x:f>IF(OR(B83="",C83="",D83=""),"",IF(AND(C83&gt;=IFERROR(VLOOKUP(B83,'Exercise Library'!$A$5:$L$52,10,FALSE),999),D83&gt;=IFERROR(VLOOKUP(B83,'Exercise Library'!$A$5:$L$52,11,FALSE),999),D83&lt;=C83),"PASS","REPEAT"))</x:f>
      </x:c>
      <x:c r="I83" s="46"/>
      <x:c r="J83" s="46"/>
    </x:row>
    <x:row r="84" ht="31" customHeight="1">
      <x:c r="A84" s="50"/>
      <x:c r="B84" s="46"/>
      <x:c r="C84" s="46"/>
      <x:c r="D84" s="46"/>
      <x:c r="E84" s="52"/>
      <x:c r="F84" s="46"/>
      <x:c r="G84" s="46"/>
      <x:c r="H84" s="48" t="str">
        <x:f>IF(OR(B84="",C84="",D84=""),"",IF(AND(C84&gt;=IFERROR(VLOOKUP(B84,'Exercise Library'!$A$5:$L$52,10,FALSE),999),D84&gt;=IFERROR(VLOOKUP(B84,'Exercise Library'!$A$5:$L$52,11,FALSE),999),D84&lt;=C84),"PASS","REPEAT"))</x:f>
      </x:c>
      <x:c r="I84" s="46"/>
      <x:c r="J84" s="46"/>
    </x:row>
    <x:row r="85" ht="31" customHeight="1">
      <x:c r="A85" s="50"/>
      <x:c r="B85" s="46"/>
      <x:c r="C85" s="46"/>
      <x:c r="D85" s="46"/>
      <x:c r="E85" s="52"/>
      <x:c r="F85" s="46"/>
      <x:c r="G85" s="46"/>
      <x:c r="H85" s="48" t="str">
        <x:f>IF(OR(B85="",C85="",D85=""),"",IF(AND(C85&gt;=IFERROR(VLOOKUP(B85,'Exercise Library'!$A$5:$L$52,10,FALSE),999),D85&gt;=IFERROR(VLOOKUP(B85,'Exercise Library'!$A$5:$L$52,11,FALSE),999),D85&lt;=C85),"PASS","REPEAT"))</x:f>
      </x:c>
      <x:c r="I85" s="46"/>
      <x:c r="J85" s="46"/>
    </x:row>
    <x:row r="86" ht="31" customHeight="1">
      <x:c r="A86" s="50"/>
      <x:c r="B86" s="46"/>
      <x:c r="C86" s="46"/>
      <x:c r="D86" s="46"/>
      <x:c r="E86" s="52"/>
      <x:c r="F86" s="46"/>
      <x:c r="G86" s="46"/>
      <x:c r="H86" s="48" t="str">
        <x:f>IF(OR(B86="",C86="",D86=""),"",IF(AND(C86&gt;=IFERROR(VLOOKUP(B86,'Exercise Library'!$A$5:$L$52,10,FALSE),999),D86&gt;=IFERROR(VLOOKUP(B86,'Exercise Library'!$A$5:$L$52,11,FALSE),999),D86&lt;=C86),"PASS","REPEAT"))</x:f>
      </x:c>
      <x:c r="I86" s="46"/>
      <x:c r="J86" s="46"/>
    </x:row>
    <x:row r="87" ht="31" customHeight="1">
      <x:c r="A87" s="50"/>
      <x:c r="B87" s="46"/>
      <x:c r="C87" s="46"/>
      <x:c r="D87" s="46"/>
      <x:c r="E87" s="52"/>
      <x:c r="F87" s="46"/>
      <x:c r="G87" s="46"/>
      <x:c r="H87" s="48" t="str">
        <x:f>IF(OR(B87="",C87="",D87=""),"",IF(AND(C87&gt;=IFERROR(VLOOKUP(B87,'Exercise Library'!$A$5:$L$52,10,FALSE),999),D87&gt;=IFERROR(VLOOKUP(B87,'Exercise Library'!$A$5:$L$52,11,FALSE),999),D87&lt;=C87),"PASS","REPEAT"))</x:f>
      </x:c>
      <x:c r="I87" s="46"/>
      <x:c r="J87" s="46"/>
    </x:row>
    <x:row r="88" ht="31" customHeight="1">
      <x:c r="A88" s="50"/>
      <x:c r="B88" s="46"/>
      <x:c r="C88" s="46"/>
      <x:c r="D88" s="46"/>
      <x:c r="E88" s="52"/>
      <x:c r="F88" s="46"/>
      <x:c r="G88" s="46"/>
      <x:c r="H88" s="48" t="str">
        <x:f>IF(OR(B88="",C88="",D88=""),"",IF(AND(C88&gt;=IFERROR(VLOOKUP(B88,'Exercise Library'!$A$5:$L$52,10,FALSE),999),D88&gt;=IFERROR(VLOOKUP(B88,'Exercise Library'!$A$5:$L$52,11,FALSE),999),D88&lt;=C88),"PASS","REPEAT"))</x:f>
      </x:c>
      <x:c r="I88" s="46"/>
      <x:c r="J88" s="46"/>
    </x:row>
    <x:row r="89" ht="31" customHeight="1">
      <x:c r="A89" s="50"/>
      <x:c r="B89" s="46"/>
      <x:c r="C89" s="46"/>
      <x:c r="D89" s="46"/>
      <x:c r="E89" s="52"/>
      <x:c r="F89" s="46"/>
      <x:c r="G89" s="46"/>
      <x:c r="H89" s="48" t="str">
        <x:f>IF(OR(B89="",C89="",D89=""),"",IF(AND(C89&gt;=IFERROR(VLOOKUP(B89,'Exercise Library'!$A$5:$L$52,10,FALSE),999),D89&gt;=IFERROR(VLOOKUP(B89,'Exercise Library'!$A$5:$L$52,11,FALSE),999),D89&lt;=C89),"PASS","REPEAT"))</x:f>
      </x:c>
      <x:c r="I89" s="46"/>
      <x:c r="J89" s="46"/>
    </x:row>
    <x:row r="90" ht="31" customHeight="1">
      <x:c r="A90" s="50"/>
      <x:c r="B90" s="46"/>
      <x:c r="C90" s="46"/>
      <x:c r="D90" s="46"/>
      <x:c r="E90" s="52"/>
      <x:c r="F90" s="46"/>
      <x:c r="G90" s="46"/>
      <x:c r="H90" s="48" t="str">
        <x:f>IF(OR(B90="",C90="",D90=""),"",IF(AND(C90&gt;=IFERROR(VLOOKUP(B90,'Exercise Library'!$A$5:$L$52,10,FALSE),999),D90&gt;=IFERROR(VLOOKUP(B90,'Exercise Library'!$A$5:$L$52,11,FALSE),999),D90&lt;=C90),"PASS","REPEAT"))</x:f>
      </x:c>
      <x:c r="I90" s="46"/>
      <x:c r="J90" s="46"/>
    </x:row>
    <x:row r="91" ht="31" customHeight="1">
      <x:c r="A91" s="50"/>
      <x:c r="B91" s="46"/>
      <x:c r="C91" s="46"/>
      <x:c r="D91" s="46"/>
      <x:c r="E91" s="52"/>
      <x:c r="F91" s="46"/>
      <x:c r="G91" s="46"/>
      <x:c r="H91" s="48" t="str">
        <x:f>IF(OR(B91="",C91="",D91=""),"",IF(AND(C91&gt;=IFERROR(VLOOKUP(B91,'Exercise Library'!$A$5:$L$52,10,FALSE),999),D91&gt;=IFERROR(VLOOKUP(B91,'Exercise Library'!$A$5:$L$52,11,FALSE),999),D91&lt;=C91),"PASS","REPEAT"))</x:f>
      </x:c>
      <x:c r="I91" s="46"/>
      <x:c r="J91" s="46"/>
    </x:row>
    <x:row r="92" ht="31" customHeight="1">
      <x:c r="A92" s="50"/>
      <x:c r="B92" s="46"/>
      <x:c r="C92" s="46"/>
      <x:c r="D92" s="46"/>
      <x:c r="E92" s="52"/>
      <x:c r="F92" s="46"/>
      <x:c r="G92" s="46"/>
      <x:c r="H92" s="48" t="str">
        <x:f>IF(OR(B92="",C92="",D92=""),"",IF(AND(C92&gt;=IFERROR(VLOOKUP(B92,'Exercise Library'!$A$5:$L$52,10,FALSE),999),D92&gt;=IFERROR(VLOOKUP(B92,'Exercise Library'!$A$5:$L$52,11,FALSE),999),D92&lt;=C92),"PASS","REPEAT"))</x:f>
      </x:c>
      <x:c r="I92" s="46"/>
      <x:c r="J92" s="46"/>
    </x:row>
    <x:row r="93" ht="31" customHeight="1">
      <x:c r="A93" s="50"/>
      <x:c r="B93" s="46"/>
      <x:c r="C93" s="46"/>
      <x:c r="D93" s="46"/>
      <x:c r="E93" s="52"/>
      <x:c r="F93" s="46"/>
      <x:c r="G93" s="46"/>
      <x:c r="H93" s="48" t="str">
        <x:f>IF(OR(B93="",C93="",D93=""),"",IF(AND(C93&gt;=IFERROR(VLOOKUP(B93,'Exercise Library'!$A$5:$L$52,10,FALSE),999),D93&gt;=IFERROR(VLOOKUP(B93,'Exercise Library'!$A$5:$L$52,11,FALSE),999),D93&lt;=C93),"PASS","REPEAT"))</x:f>
      </x:c>
      <x:c r="I93" s="46"/>
      <x:c r="J93" s="46"/>
    </x:row>
    <x:row r="94" ht="31" customHeight="1">
      <x:c r="A94" s="50"/>
      <x:c r="B94" s="46"/>
      <x:c r="C94" s="46"/>
      <x:c r="D94" s="46"/>
      <x:c r="E94" s="52"/>
      <x:c r="F94" s="46"/>
      <x:c r="G94" s="46"/>
      <x:c r="H94" s="48" t="str">
        <x:f>IF(OR(B94="",C94="",D94=""),"",IF(AND(C94&gt;=IFERROR(VLOOKUP(B94,'Exercise Library'!$A$5:$L$52,10,FALSE),999),D94&gt;=IFERROR(VLOOKUP(B94,'Exercise Library'!$A$5:$L$52,11,FALSE),999),D94&lt;=C94),"PASS","REPEAT"))</x:f>
      </x:c>
      <x:c r="I94" s="46"/>
      <x:c r="J94" s="46"/>
    </x:row>
    <x:row r="95" ht="31" customHeight="1">
      <x:c r="A95" s="50"/>
      <x:c r="B95" s="46"/>
      <x:c r="C95" s="46"/>
      <x:c r="D95" s="46"/>
      <x:c r="E95" s="52"/>
      <x:c r="F95" s="46"/>
      <x:c r="G95" s="46"/>
      <x:c r="H95" s="48" t="str">
        <x:f>IF(OR(B95="",C95="",D95=""),"",IF(AND(C95&gt;=IFERROR(VLOOKUP(B95,'Exercise Library'!$A$5:$L$52,10,FALSE),999),D95&gt;=IFERROR(VLOOKUP(B95,'Exercise Library'!$A$5:$L$52,11,FALSE),999),D95&lt;=C95),"PASS","REPEAT"))</x:f>
      </x:c>
      <x:c r="I95" s="46"/>
      <x:c r="J95" s="46"/>
    </x:row>
    <x:row r="96" ht="31" customHeight="1">
      <x:c r="A96" s="50"/>
      <x:c r="B96" s="46"/>
      <x:c r="C96" s="46"/>
      <x:c r="D96" s="46"/>
      <x:c r="E96" s="52"/>
      <x:c r="F96" s="46"/>
      <x:c r="G96" s="46"/>
      <x:c r="H96" s="48" t="str">
        <x:f>IF(OR(B96="",C96="",D96=""),"",IF(AND(C96&gt;=IFERROR(VLOOKUP(B96,'Exercise Library'!$A$5:$L$52,10,FALSE),999),D96&gt;=IFERROR(VLOOKUP(B96,'Exercise Library'!$A$5:$L$52,11,FALSE),999),D96&lt;=C96),"PASS","REPEAT"))</x:f>
      </x:c>
      <x:c r="I96" s="46"/>
      <x:c r="J96" s="46"/>
    </x:row>
    <x:row r="97" ht="31" customHeight="1">
      <x:c r="A97" s="50"/>
      <x:c r="B97" s="46"/>
      <x:c r="C97" s="46"/>
      <x:c r="D97" s="46"/>
      <x:c r="E97" s="52"/>
      <x:c r="F97" s="46"/>
      <x:c r="G97" s="46"/>
      <x:c r="H97" s="48" t="str">
        <x:f>IF(OR(B97="",C97="",D97=""),"",IF(AND(C97&gt;=IFERROR(VLOOKUP(B97,'Exercise Library'!$A$5:$L$52,10,FALSE),999),D97&gt;=IFERROR(VLOOKUP(B97,'Exercise Library'!$A$5:$L$52,11,FALSE),999),D97&lt;=C97),"PASS","REPEAT"))</x:f>
      </x:c>
      <x:c r="I97" s="46"/>
      <x:c r="J97" s="46"/>
    </x:row>
    <x:row r="98" ht="31" customHeight="1">
      <x:c r="A98" s="50"/>
      <x:c r="B98" s="46"/>
      <x:c r="C98" s="46"/>
      <x:c r="D98" s="46"/>
      <x:c r="E98" s="52"/>
      <x:c r="F98" s="46"/>
      <x:c r="G98" s="46"/>
      <x:c r="H98" s="48" t="str">
        <x:f>IF(OR(B98="",C98="",D98=""),"",IF(AND(C98&gt;=IFERROR(VLOOKUP(B98,'Exercise Library'!$A$5:$L$52,10,FALSE),999),D98&gt;=IFERROR(VLOOKUP(B98,'Exercise Library'!$A$5:$L$52,11,FALSE),999),D98&lt;=C98),"PASS","REPEAT"))</x:f>
      </x:c>
      <x:c r="I98" s="46"/>
      <x:c r="J98" s="46"/>
    </x:row>
    <x:row r="99" ht="31" customHeight="1">
      <x:c r="A99" s="50"/>
      <x:c r="B99" s="46"/>
      <x:c r="C99" s="46"/>
      <x:c r="D99" s="46"/>
      <x:c r="E99" s="52"/>
      <x:c r="F99" s="46"/>
      <x:c r="G99" s="46"/>
      <x:c r="H99" s="48" t="str">
        <x:f>IF(OR(B99="",C99="",D99=""),"",IF(AND(C99&gt;=IFERROR(VLOOKUP(B99,'Exercise Library'!$A$5:$L$52,10,FALSE),999),D99&gt;=IFERROR(VLOOKUP(B99,'Exercise Library'!$A$5:$L$52,11,FALSE),999),D99&lt;=C99),"PASS","REPEAT"))</x:f>
      </x:c>
      <x:c r="I99" s="46"/>
      <x:c r="J99" s="46"/>
    </x:row>
    <x:row r="100" ht="31" customHeight="1">
      <x:c r="A100" s="50"/>
      <x:c r="B100" s="46"/>
      <x:c r="C100" s="46"/>
      <x:c r="D100" s="46"/>
      <x:c r="E100" s="52"/>
      <x:c r="F100" s="46"/>
      <x:c r="G100" s="46"/>
      <x:c r="H100" s="48" t="str">
        <x:f>IF(OR(B100="",C100="",D100=""),"",IF(AND(C100&gt;=IFERROR(VLOOKUP(B100,'Exercise Library'!$A$5:$L$52,10,FALSE),999),D100&gt;=IFERROR(VLOOKUP(B100,'Exercise Library'!$A$5:$L$52,11,FALSE),999),D100&lt;=C100),"PASS","REPEAT"))</x:f>
      </x:c>
      <x:c r="I100" s="46"/>
      <x:c r="J100" s="46"/>
    </x:row>
    <x:row r="101" ht="31" customHeight="1">
      <x:c r="A101" s="50"/>
      <x:c r="B101" s="46"/>
      <x:c r="C101" s="46"/>
      <x:c r="D101" s="46"/>
      <x:c r="E101" s="52"/>
      <x:c r="F101" s="46"/>
      <x:c r="G101" s="46"/>
      <x:c r="H101" s="48" t="str">
        <x:f>IF(OR(B101="",C101="",D101=""),"",IF(AND(C101&gt;=IFERROR(VLOOKUP(B101,'Exercise Library'!$A$5:$L$52,10,FALSE),999),D101&gt;=IFERROR(VLOOKUP(B101,'Exercise Library'!$A$5:$L$52,11,FALSE),999),D101&lt;=C101),"PASS","REPEAT"))</x:f>
      </x:c>
      <x:c r="I101" s="46"/>
      <x:c r="J101" s="46"/>
    </x:row>
    <x:row r="102" ht="31" customHeight="1">
      <x:c r="A102" s="50"/>
      <x:c r="B102" s="46"/>
      <x:c r="C102" s="46"/>
      <x:c r="D102" s="46"/>
      <x:c r="E102" s="52"/>
      <x:c r="F102" s="46"/>
      <x:c r="G102" s="46"/>
      <x:c r="H102" s="48" t="str">
        <x:f>IF(OR(B102="",C102="",D102=""),"",IF(AND(C102&gt;=IFERROR(VLOOKUP(B102,'Exercise Library'!$A$5:$L$52,10,FALSE),999),D102&gt;=IFERROR(VLOOKUP(B102,'Exercise Library'!$A$5:$L$52,11,FALSE),999),D102&lt;=C102),"PASS","REPEAT"))</x:f>
      </x:c>
      <x:c r="I102" s="46"/>
      <x:c r="J102" s="46"/>
    </x:row>
    <x:row r="103" ht="31" customHeight="1">
      <x:c r="A103" s="50"/>
      <x:c r="B103" s="46"/>
      <x:c r="C103" s="46"/>
      <x:c r="D103" s="46"/>
      <x:c r="E103" s="52"/>
      <x:c r="F103" s="46"/>
      <x:c r="G103" s="46"/>
      <x:c r="H103" s="48" t="str">
        <x:f>IF(OR(B103="",C103="",D103=""),"",IF(AND(C103&gt;=IFERROR(VLOOKUP(B103,'Exercise Library'!$A$5:$L$52,10,FALSE),999),D103&gt;=IFERROR(VLOOKUP(B103,'Exercise Library'!$A$5:$L$52,11,FALSE),999),D103&lt;=C103),"PASS","REPEAT"))</x:f>
      </x:c>
      <x:c r="I103" s="46"/>
      <x:c r="J103" s="46"/>
    </x:row>
    <x:row r="104" ht="31" customHeight="1">
      <x:c r="A104" s="50"/>
      <x:c r="B104" s="46"/>
      <x:c r="C104" s="46"/>
      <x:c r="D104" s="46"/>
      <x:c r="E104" s="52"/>
      <x:c r="F104" s="46"/>
      <x:c r="G104" s="46"/>
      <x:c r="H104" s="48" t="str">
        <x:f>IF(OR(B104="",C104="",D104=""),"",IF(AND(C104&gt;=IFERROR(VLOOKUP(B104,'Exercise Library'!$A$5:$L$52,10,FALSE),999),D104&gt;=IFERROR(VLOOKUP(B104,'Exercise Library'!$A$5:$L$52,11,FALSE),999),D104&lt;=C104),"PASS","REPEAT"))</x:f>
      </x:c>
      <x:c r="I104" s="46"/>
      <x:c r="J104" s="46"/>
    </x:row>
    <x:row r="105" ht="31" customHeight="1">
      <x:c r="A105" s="50"/>
      <x:c r="B105" s="46"/>
      <x:c r="C105" s="46"/>
      <x:c r="D105" s="46"/>
      <x:c r="E105" s="52"/>
      <x:c r="F105" s="46"/>
      <x:c r="G105" s="46"/>
      <x:c r="H105" s="48" t="str">
        <x:f>IF(OR(B105="",C105="",D105=""),"",IF(AND(C105&gt;=IFERROR(VLOOKUP(B105,'Exercise Library'!$A$5:$L$52,10,FALSE),999),D105&gt;=IFERROR(VLOOKUP(B105,'Exercise Library'!$A$5:$L$52,11,FALSE),999),D105&lt;=C105),"PASS","REPEAT"))</x:f>
      </x:c>
      <x:c r="I105" s="46"/>
      <x:c r="J105" s="46"/>
    </x:row>
    <x:row r="106" ht="31" customHeight="1">
      <x:c r="A106" s="50"/>
      <x:c r="B106" s="46"/>
      <x:c r="C106" s="46"/>
      <x:c r="D106" s="46"/>
      <x:c r="E106" s="52"/>
      <x:c r="F106" s="46"/>
      <x:c r="G106" s="46"/>
      <x:c r="H106" s="48" t="str">
        <x:f>IF(OR(B106="",C106="",D106=""),"",IF(AND(C106&gt;=IFERROR(VLOOKUP(B106,'Exercise Library'!$A$5:$L$52,10,FALSE),999),D106&gt;=IFERROR(VLOOKUP(B106,'Exercise Library'!$A$5:$L$52,11,FALSE),999),D106&lt;=C106),"PASS","REPEAT"))</x:f>
      </x:c>
      <x:c r="I106" s="46"/>
      <x:c r="J106" s="46"/>
    </x:row>
    <x:row r="107" ht="31" customHeight="1">
      <x:c r="A107" s="50"/>
      <x:c r="B107" s="46"/>
      <x:c r="C107" s="46"/>
      <x:c r="D107" s="46"/>
      <x:c r="E107" s="52"/>
      <x:c r="F107" s="46"/>
      <x:c r="G107" s="46"/>
      <x:c r="H107" s="48" t="str">
        <x:f>IF(OR(B107="",C107="",D107=""),"",IF(AND(C107&gt;=IFERROR(VLOOKUP(B107,'Exercise Library'!$A$5:$L$52,10,FALSE),999),D107&gt;=IFERROR(VLOOKUP(B107,'Exercise Library'!$A$5:$L$52,11,FALSE),999),D107&lt;=C107),"PASS","REPEAT"))</x:f>
      </x:c>
      <x:c r="I107" s="46"/>
      <x:c r="J107" s="46"/>
    </x:row>
    <x:row r="108" ht="31" customHeight="1">
      <x:c r="A108" s="50"/>
      <x:c r="B108" s="46"/>
      <x:c r="C108" s="46"/>
      <x:c r="D108" s="46"/>
      <x:c r="E108" s="52"/>
      <x:c r="F108" s="46"/>
      <x:c r="G108" s="46"/>
      <x:c r="H108" s="48" t="str">
        <x:f>IF(OR(B108="",C108="",D108=""),"",IF(AND(C108&gt;=IFERROR(VLOOKUP(B108,'Exercise Library'!$A$5:$L$52,10,FALSE),999),D108&gt;=IFERROR(VLOOKUP(B108,'Exercise Library'!$A$5:$L$52,11,FALSE),999),D108&lt;=C108),"PASS","REPEAT"))</x:f>
      </x:c>
      <x:c r="I108" s="46"/>
      <x:c r="J108" s="46"/>
    </x:row>
    <x:row r="109" ht="31" customHeight="1">
      <x:c r="A109" s="50"/>
      <x:c r="B109" s="46"/>
      <x:c r="C109" s="46"/>
      <x:c r="D109" s="46"/>
      <x:c r="E109" s="52"/>
      <x:c r="F109" s="46"/>
      <x:c r="G109" s="46"/>
      <x:c r="H109" s="48" t="str">
        <x:f>IF(OR(B109="",C109="",D109=""),"",IF(AND(C109&gt;=IFERROR(VLOOKUP(B109,'Exercise Library'!$A$5:$L$52,10,FALSE),999),D109&gt;=IFERROR(VLOOKUP(B109,'Exercise Library'!$A$5:$L$52,11,FALSE),999),D109&lt;=C109),"PASS","REPEAT"))</x:f>
      </x:c>
      <x:c r="I109" s="46"/>
      <x:c r="J109" s="46"/>
    </x:row>
    <x:row r="110" ht="31" customHeight="1">
      <x:c r="A110" s="50"/>
      <x:c r="B110" s="46"/>
      <x:c r="C110" s="46"/>
      <x:c r="D110" s="46"/>
      <x:c r="E110" s="52"/>
      <x:c r="F110" s="46"/>
      <x:c r="G110" s="46"/>
      <x:c r="H110" s="48" t="str">
        <x:f>IF(OR(B110="",C110="",D110=""),"",IF(AND(C110&gt;=IFERROR(VLOOKUP(B110,'Exercise Library'!$A$5:$L$52,10,FALSE),999),D110&gt;=IFERROR(VLOOKUP(B110,'Exercise Library'!$A$5:$L$52,11,FALSE),999),D110&lt;=C110),"PASS","REPEAT"))</x:f>
      </x:c>
      <x:c r="I110" s="46"/>
      <x:c r="J110" s="46"/>
    </x:row>
    <x:row r="111" ht="31" customHeight="1">
      <x:c r="A111" s="50"/>
      <x:c r="B111" s="46"/>
      <x:c r="C111" s="46"/>
      <x:c r="D111" s="46"/>
      <x:c r="E111" s="52"/>
      <x:c r="F111" s="46"/>
      <x:c r="G111" s="46"/>
      <x:c r="H111" s="48" t="str">
        <x:f>IF(OR(B111="",C111="",D111=""),"",IF(AND(C111&gt;=IFERROR(VLOOKUP(B111,'Exercise Library'!$A$5:$L$52,10,FALSE),999),D111&gt;=IFERROR(VLOOKUP(B111,'Exercise Library'!$A$5:$L$52,11,FALSE),999),D111&lt;=C111),"PASS","REPEAT"))</x:f>
      </x:c>
      <x:c r="I111" s="46"/>
      <x:c r="J111" s="46"/>
    </x:row>
    <x:row r="112" ht="31" customHeight="1">
      <x:c r="A112" s="50"/>
      <x:c r="B112" s="46"/>
      <x:c r="C112" s="46"/>
      <x:c r="D112" s="46"/>
      <x:c r="E112" s="52"/>
      <x:c r="F112" s="46"/>
      <x:c r="G112" s="46"/>
      <x:c r="H112" s="48" t="str">
        <x:f>IF(OR(B112="",C112="",D112=""),"",IF(AND(C112&gt;=IFERROR(VLOOKUP(B112,'Exercise Library'!$A$5:$L$52,10,FALSE),999),D112&gt;=IFERROR(VLOOKUP(B112,'Exercise Library'!$A$5:$L$52,11,FALSE),999),D112&lt;=C112),"PASS","REPEAT"))</x:f>
      </x:c>
      <x:c r="I112" s="46"/>
      <x:c r="J112" s="46"/>
    </x:row>
    <x:row r="113" ht="31" customHeight="1">
      <x:c r="A113" s="50"/>
      <x:c r="B113" s="46"/>
      <x:c r="C113" s="46"/>
      <x:c r="D113" s="46"/>
      <x:c r="E113" s="52"/>
      <x:c r="F113" s="46"/>
      <x:c r="G113" s="46"/>
      <x:c r="H113" s="48" t="str">
        <x:f>IF(OR(B113="",C113="",D113=""),"",IF(AND(C113&gt;=IFERROR(VLOOKUP(B113,'Exercise Library'!$A$5:$L$52,10,FALSE),999),D113&gt;=IFERROR(VLOOKUP(B113,'Exercise Library'!$A$5:$L$52,11,FALSE),999),D113&lt;=C113),"PASS","REPEAT"))</x:f>
      </x:c>
      <x:c r="I113" s="46"/>
      <x:c r="J113" s="46"/>
    </x:row>
    <x:row r="114" ht="31" customHeight="1">
      <x:c r="A114" s="50"/>
      <x:c r="B114" s="46"/>
      <x:c r="C114" s="46"/>
      <x:c r="D114" s="46"/>
      <x:c r="E114" s="52"/>
      <x:c r="F114" s="46"/>
      <x:c r="G114" s="46"/>
      <x:c r="H114" s="48" t="str">
        <x:f>IF(OR(B114="",C114="",D114=""),"",IF(AND(C114&gt;=IFERROR(VLOOKUP(B114,'Exercise Library'!$A$5:$L$52,10,FALSE),999),D114&gt;=IFERROR(VLOOKUP(B114,'Exercise Library'!$A$5:$L$52,11,FALSE),999),D114&lt;=C114),"PASS","REPEAT"))</x:f>
      </x:c>
      <x:c r="I114" s="46"/>
      <x:c r="J114" s="46"/>
    </x:row>
    <x:row r="115" ht="31" customHeight="1">
      <x:c r="A115" s="50"/>
      <x:c r="B115" s="46"/>
      <x:c r="C115" s="46"/>
      <x:c r="D115" s="46"/>
      <x:c r="E115" s="52"/>
      <x:c r="F115" s="46"/>
      <x:c r="G115" s="46"/>
      <x:c r="H115" s="48" t="str">
        <x:f>IF(OR(B115="",C115="",D115=""),"",IF(AND(C115&gt;=IFERROR(VLOOKUP(B115,'Exercise Library'!$A$5:$L$52,10,FALSE),999),D115&gt;=IFERROR(VLOOKUP(B115,'Exercise Library'!$A$5:$L$52,11,FALSE),999),D115&lt;=C115),"PASS","REPEAT"))</x:f>
      </x:c>
      <x:c r="I115" s="46"/>
      <x:c r="J115" s="46"/>
    </x:row>
    <x:row r="116" ht="31" customHeight="1">
      <x:c r="A116" s="50"/>
      <x:c r="B116" s="46"/>
      <x:c r="C116" s="46"/>
      <x:c r="D116" s="46"/>
      <x:c r="E116" s="52"/>
      <x:c r="F116" s="46"/>
      <x:c r="G116" s="46"/>
      <x:c r="H116" s="48" t="str">
        <x:f>IF(OR(B116="",C116="",D116=""),"",IF(AND(C116&gt;=IFERROR(VLOOKUP(B116,'Exercise Library'!$A$5:$L$52,10,FALSE),999),D116&gt;=IFERROR(VLOOKUP(B116,'Exercise Library'!$A$5:$L$52,11,FALSE),999),D116&lt;=C116),"PASS","REPEAT"))</x:f>
      </x:c>
      <x:c r="I116" s="46"/>
      <x:c r="J116" s="46"/>
    </x:row>
    <x:row r="117" ht="31" customHeight="1">
      <x:c r="A117" s="50"/>
      <x:c r="B117" s="46"/>
      <x:c r="C117" s="46"/>
      <x:c r="D117" s="46"/>
      <x:c r="E117" s="52"/>
      <x:c r="F117" s="46"/>
      <x:c r="G117" s="46"/>
      <x:c r="H117" s="48" t="str">
        <x:f>IF(OR(B117="",C117="",D117=""),"",IF(AND(C117&gt;=IFERROR(VLOOKUP(B117,'Exercise Library'!$A$5:$L$52,10,FALSE),999),D117&gt;=IFERROR(VLOOKUP(B117,'Exercise Library'!$A$5:$L$52,11,FALSE),999),D117&lt;=C117),"PASS","REPEAT"))</x:f>
      </x:c>
      <x:c r="I117" s="46"/>
      <x:c r="J117" s="46"/>
    </x:row>
    <x:row r="118" ht="31" customHeight="1">
      <x:c r="A118" s="50"/>
      <x:c r="B118" s="46"/>
      <x:c r="C118" s="46"/>
      <x:c r="D118" s="46"/>
      <x:c r="E118" s="52"/>
      <x:c r="F118" s="46"/>
      <x:c r="G118" s="46"/>
      <x:c r="H118" s="48" t="str">
        <x:f>IF(OR(B118="",C118="",D118=""),"",IF(AND(C118&gt;=IFERROR(VLOOKUP(B118,'Exercise Library'!$A$5:$L$52,10,FALSE),999),D118&gt;=IFERROR(VLOOKUP(B118,'Exercise Library'!$A$5:$L$52,11,FALSE),999),D118&lt;=C118),"PASS","REPEAT"))</x:f>
      </x:c>
      <x:c r="I118" s="46"/>
      <x:c r="J118" s="46"/>
    </x:row>
    <x:row r="119" ht="31" customHeight="1">
      <x:c r="A119" s="50"/>
      <x:c r="B119" s="46"/>
      <x:c r="C119" s="46"/>
      <x:c r="D119" s="46"/>
      <x:c r="E119" s="52"/>
      <x:c r="F119" s="46"/>
      <x:c r="G119" s="46"/>
      <x:c r="H119" s="48" t="str">
        <x:f>IF(OR(B119="",C119="",D119=""),"",IF(AND(C119&gt;=IFERROR(VLOOKUP(B119,'Exercise Library'!$A$5:$L$52,10,FALSE),999),D119&gt;=IFERROR(VLOOKUP(B119,'Exercise Library'!$A$5:$L$52,11,FALSE),999),D119&lt;=C119),"PASS","REPEAT"))</x:f>
      </x:c>
      <x:c r="I119" s="46"/>
      <x:c r="J119" s="46"/>
    </x:row>
    <x:row r="120" ht="31" customHeight="1">
      <x:c r="A120" s="50"/>
      <x:c r="B120" s="46"/>
      <x:c r="C120" s="46"/>
      <x:c r="D120" s="46"/>
      <x:c r="E120" s="52"/>
      <x:c r="F120" s="46"/>
      <x:c r="G120" s="46"/>
      <x:c r="H120" s="48" t="str">
        <x:f>IF(OR(B120="",C120="",D120=""),"",IF(AND(C120&gt;=IFERROR(VLOOKUP(B120,'Exercise Library'!$A$5:$L$52,10,FALSE),999),D120&gt;=IFERROR(VLOOKUP(B120,'Exercise Library'!$A$5:$L$52,11,FALSE),999),D120&lt;=C120),"PASS","REPEAT"))</x:f>
      </x:c>
      <x:c r="I120" s="46"/>
      <x:c r="J120" s="46"/>
    </x:row>
    <x:row r="121" ht="31" customHeight="1">
      <x:c r="A121" s="50"/>
      <x:c r="B121" s="46"/>
      <x:c r="C121" s="46"/>
      <x:c r="D121" s="46"/>
      <x:c r="E121" s="52"/>
      <x:c r="F121" s="46"/>
      <x:c r="G121" s="46"/>
      <x:c r="H121" s="48" t="str">
        <x:f>IF(OR(B121="",C121="",D121=""),"",IF(AND(C121&gt;=IFERROR(VLOOKUP(B121,'Exercise Library'!$A$5:$L$52,10,FALSE),999),D121&gt;=IFERROR(VLOOKUP(B121,'Exercise Library'!$A$5:$L$52,11,FALSE),999),D121&lt;=C121),"PASS","REPEAT"))</x:f>
      </x:c>
      <x:c r="I121" s="46"/>
      <x:c r="J121" s="46"/>
    </x:row>
    <x:row r="122" ht="31" customHeight="1">
      <x:c r="A122" s="50"/>
      <x:c r="B122" s="46"/>
      <x:c r="C122" s="46"/>
      <x:c r="D122" s="46"/>
      <x:c r="E122" s="52"/>
      <x:c r="F122" s="46"/>
      <x:c r="G122" s="46"/>
      <x:c r="H122" s="48" t="str">
        <x:f>IF(OR(B122="",C122="",D122=""),"",IF(AND(C122&gt;=IFERROR(VLOOKUP(B122,'Exercise Library'!$A$5:$L$52,10,FALSE),999),D122&gt;=IFERROR(VLOOKUP(B122,'Exercise Library'!$A$5:$L$52,11,FALSE),999),D122&lt;=C122),"PASS","REPEAT"))</x:f>
      </x:c>
      <x:c r="I122" s="46"/>
      <x:c r="J122" s="46"/>
    </x:row>
    <x:row r="123" ht="31" customHeight="1">
      <x:c r="A123" s="50"/>
      <x:c r="B123" s="46"/>
      <x:c r="C123" s="46"/>
      <x:c r="D123" s="46"/>
      <x:c r="E123" s="52"/>
      <x:c r="F123" s="46"/>
      <x:c r="G123" s="46"/>
      <x:c r="H123" s="48" t="str">
        <x:f>IF(OR(B123="",C123="",D123=""),"",IF(AND(C123&gt;=IFERROR(VLOOKUP(B123,'Exercise Library'!$A$5:$L$52,10,FALSE),999),D123&gt;=IFERROR(VLOOKUP(B123,'Exercise Library'!$A$5:$L$52,11,FALSE),999),D123&lt;=C123),"PASS","REPEAT"))</x:f>
      </x:c>
      <x:c r="I123" s="46"/>
      <x:c r="J123" s="46"/>
    </x:row>
    <x:row r="124" ht="31" customHeight="1">
      <x:c r="A124" s="50"/>
      <x:c r="B124" s="46"/>
      <x:c r="C124" s="46"/>
      <x:c r="D124" s="46"/>
      <x:c r="E124" s="52"/>
      <x:c r="F124" s="46"/>
      <x:c r="G124" s="46"/>
      <x:c r="H124" s="48" t="str">
        <x:f>IF(OR(B124="",C124="",D124=""),"",IF(AND(C124&gt;=IFERROR(VLOOKUP(B124,'Exercise Library'!$A$5:$L$52,10,FALSE),999),D124&gt;=IFERROR(VLOOKUP(B124,'Exercise Library'!$A$5:$L$52,11,FALSE),999),D124&lt;=C124),"PASS","REPEAT"))</x:f>
      </x:c>
      <x:c r="I124" s="46"/>
      <x:c r="J124" s="46"/>
    </x:row>
    <x:row r="125" ht="31" customHeight="1">
      <x:c r="A125" s="50"/>
      <x:c r="B125" s="46"/>
      <x:c r="C125" s="46"/>
      <x:c r="D125" s="46"/>
      <x:c r="E125" s="52"/>
      <x:c r="F125" s="46"/>
      <x:c r="G125" s="46"/>
      <x:c r="H125" s="48" t="str">
        <x:f>IF(OR(B125="",C125="",D125=""),"",IF(AND(C125&gt;=IFERROR(VLOOKUP(B125,'Exercise Library'!$A$5:$L$52,10,FALSE),999),D125&gt;=IFERROR(VLOOKUP(B125,'Exercise Library'!$A$5:$L$52,11,FALSE),999),D125&lt;=C125),"PASS","REPEAT"))</x:f>
      </x:c>
      <x:c r="I125" s="46"/>
      <x:c r="J125" s="46"/>
    </x:row>
    <x:row r="126" ht="31" customHeight="1">
      <x:c r="A126" s="50"/>
      <x:c r="B126" s="46"/>
      <x:c r="C126" s="46"/>
      <x:c r="D126" s="46"/>
      <x:c r="E126" s="52"/>
      <x:c r="F126" s="46"/>
      <x:c r="G126" s="46"/>
      <x:c r="H126" s="48" t="str">
        <x:f>IF(OR(B126="",C126="",D126=""),"",IF(AND(C126&gt;=IFERROR(VLOOKUP(B126,'Exercise Library'!$A$5:$L$52,10,FALSE),999),D126&gt;=IFERROR(VLOOKUP(B126,'Exercise Library'!$A$5:$L$52,11,FALSE),999),D126&lt;=C126),"PASS","REPEAT"))</x:f>
      </x:c>
      <x:c r="I126" s="46"/>
      <x:c r="J126" s="46"/>
    </x:row>
    <x:row r="127" ht="31" customHeight="1">
      <x:c r="A127" s="50"/>
      <x:c r="B127" s="46"/>
      <x:c r="C127" s="46"/>
      <x:c r="D127" s="46"/>
      <x:c r="E127" s="52"/>
      <x:c r="F127" s="46"/>
      <x:c r="G127" s="46"/>
      <x:c r="H127" s="48" t="str">
        <x:f>IF(OR(B127="",C127="",D127=""),"",IF(AND(C127&gt;=IFERROR(VLOOKUP(B127,'Exercise Library'!$A$5:$L$52,10,FALSE),999),D127&gt;=IFERROR(VLOOKUP(B127,'Exercise Library'!$A$5:$L$52,11,FALSE),999),D127&lt;=C127),"PASS","REPEAT"))</x:f>
      </x:c>
      <x:c r="I127" s="46"/>
      <x:c r="J127" s="46"/>
    </x:row>
    <x:row r="128" ht="31" customHeight="1">
      <x:c r="A128" s="50"/>
      <x:c r="B128" s="46"/>
      <x:c r="C128" s="46"/>
      <x:c r="D128" s="46"/>
      <x:c r="E128" s="52"/>
      <x:c r="F128" s="46"/>
      <x:c r="G128" s="46"/>
      <x:c r="H128" s="48" t="str">
        <x:f>IF(OR(B128="",C128="",D128=""),"",IF(AND(C128&gt;=IFERROR(VLOOKUP(B128,'Exercise Library'!$A$5:$L$52,10,FALSE),999),D128&gt;=IFERROR(VLOOKUP(B128,'Exercise Library'!$A$5:$L$52,11,FALSE),999),D128&lt;=C128),"PASS","REPEAT"))</x:f>
      </x:c>
      <x:c r="I128" s="46"/>
      <x:c r="J128" s="46"/>
    </x:row>
    <x:row r="129" ht="31" customHeight="1">
      <x:c r="A129" s="50"/>
      <x:c r="B129" s="46"/>
      <x:c r="C129" s="46"/>
      <x:c r="D129" s="46"/>
      <x:c r="E129" s="52"/>
      <x:c r="F129" s="46"/>
      <x:c r="G129" s="46"/>
      <x:c r="H129" s="48" t="str">
        <x:f>IF(OR(B129="",C129="",D129=""),"",IF(AND(C129&gt;=IFERROR(VLOOKUP(B129,'Exercise Library'!$A$5:$L$52,10,FALSE),999),D129&gt;=IFERROR(VLOOKUP(B129,'Exercise Library'!$A$5:$L$52,11,FALSE),999),D129&lt;=C129),"PASS","REPEAT"))</x:f>
      </x:c>
      <x:c r="I129" s="46"/>
      <x:c r="J129" s="46"/>
    </x:row>
    <x:row r="130" ht="31" customHeight="1">
      <x:c r="A130" s="50"/>
      <x:c r="B130" s="46"/>
      <x:c r="C130" s="46"/>
      <x:c r="D130" s="46"/>
      <x:c r="E130" s="52"/>
      <x:c r="F130" s="46"/>
      <x:c r="G130" s="46"/>
      <x:c r="H130" s="48" t="str">
        <x:f>IF(OR(B130="",C130="",D130=""),"",IF(AND(C130&gt;=IFERROR(VLOOKUP(B130,'Exercise Library'!$A$5:$L$52,10,FALSE),999),D130&gt;=IFERROR(VLOOKUP(B130,'Exercise Library'!$A$5:$L$52,11,FALSE),999),D130&lt;=C130),"PASS","REPEAT"))</x:f>
      </x:c>
      <x:c r="I130" s="46"/>
      <x:c r="J130" s="46"/>
    </x:row>
    <x:row r="131" ht="31" customHeight="1">
      <x:c r="A131" s="50"/>
      <x:c r="B131" s="46"/>
      <x:c r="C131" s="46"/>
      <x:c r="D131" s="46"/>
      <x:c r="E131" s="52"/>
      <x:c r="F131" s="46"/>
      <x:c r="G131" s="46"/>
      <x:c r="H131" s="48" t="str">
        <x:f>IF(OR(B131="",C131="",D131=""),"",IF(AND(C131&gt;=IFERROR(VLOOKUP(B131,'Exercise Library'!$A$5:$L$52,10,FALSE),999),D131&gt;=IFERROR(VLOOKUP(B131,'Exercise Library'!$A$5:$L$52,11,FALSE),999),D131&lt;=C131),"PASS","REPEAT"))</x:f>
      </x:c>
      <x:c r="I131" s="46"/>
      <x:c r="J131" s="46"/>
    </x:row>
    <x:row r="132" ht="31" customHeight="1">
      <x:c r="A132" s="50"/>
      <x:c r="B132" s="46"/>
      <x:c r="C132" s="46"/>
      <x:c r="D132" s="46"/>
      <x:c r="E132" s="52"/>
      <x:c r="F132" s="46"/>
      <x:c r="G132" s="46"/>
      <x:c r="H132" s="48" t="str">
        <x:f>IF(OR(B132="",C132="",D132=""),"",IF(AND(C132&gt;=IFERROR(VLOOKUP(B132,'Exercise Library'!$A$5:$L$52,10,FALSE),999),D132&gt;=IFERROR(VLOOKUP(B132,'Exercise Library'!$A$5:$L$52,11,FALSE),999),D132&lt;=C132),"PASS","REPEAT"))</x:f>
      </x:c>
      <x:c r="I132" s="46"/>
      <x:c r="J132" s="46"/>
    </x:row>
    <x:row r="133" ht="31" customHeight="1">
      <x:c r="A133" s="50"/>
      <x:c r="B133" s="46"/>
      <x:c r="C133" s="46"/>
      <x:c r="D133" s="46"/>
      <x:c r="E133" s="52"/>
      <x:c r="F133" s="46"/>
      <x:c r="G133" s="46"/>
      <x:c r="H133" s="48" t="str">
        <x:f>IF(OR(B133="",C133="",D133=""),"",IF(AND(C133&gt;=IFERROR(VLOOKUP(B133,'Exercise Library'!$A$5:$L$52,10,FALSE),999),D133&gt;=IFERROR(VLOOKUP(B133,'Exercise Library'!$A$5:$L$52,11,FALSE),999),D133&lt;=C133),"PASS","REPEAT"))</x:f>
      </x:c>
      <x:c r="I133" s="46"/>
      <x:c r="J133" s="46"/>
    </x:row>
    <x:row r="134" ht="31" customHeight="1">
      <x:c r="A134" s="50"/>
      <x:c r="B134" s="46"/>
      <x:c r="C134" s="46"/>
      <x:c r="D134" s="46"/>
      <x:c r="E134" s="52"/>
      <x:c r="F134" s="46"/>
      <x:c r="G134" s="46"/>
      <x:c r="H134" s="48" t="str">
        <x:f>IF(OR(B134="",C134="",D134=""),"",IF(AND(C134&gt;=IFERROR(VLOOKUP(B134,'Exercise Library'!$A$5:$L$52,10,FALSE),999),D134&gt;=IFERROR(VLOOKUP(B134,'Exercise Library'!$A$5:$L$52,11,FALSE),999),D134&lt;=C134),"PASS","REPEAT"))</x:f>
      </x:c>
      <x:c r="I134" s="46"/>
      <x:c r="J134" s="46"/>
    </x:row>
    <x:row r="135" ht="31" customHeight="1">
      <x:c r="A135" s="50"/>
      <x:c r="B135" s="46"/>
      <x:c r="C135" s="46"/>
      <x:c r="D135" s="46"/>
      <x:c r="E135" s="52"/>
      <x:c r="F135" s="46"/>
      <x:c r="G135" s="46"/>
      <x:c r="H135" s="48" t="str">
        <x:f>IF(OR(B135="",C135="",D135=""),"",IF(AND(C135&gt;=IFERROR(VLOOKUP(B135,'Exercise Library'!$A$5:$L$52,10,FALSE),999),D135&gt;=IFERROR(VLOOKUP(B135,'Exercise Library'!$A$5:$L$52,11,FALSE),999),D135&lt;=C135),"PASS","REPEAT"))</x:f>
      </x:c>
      <x:c r="I135" s="46"/>
      <x:c r="J135" s="46"/>
    </x:row>
    <x:row r="136" ht="31" customHeight="1">
      <x:c r="A136" s="50"/>
      <x:c r="B136" s="46"/>
      <x:c r="C136" s="46"/>
      <x:c r="D136" s="46"/>
      <x:c r="E136" s="52"/>
      <x:c r="F136" s="46"/>
      <x:c r="G136" s="46"/>
      <x:c r="H136" s="48" t="str">
        <x:f>IF(OR(B136="",C136="",D136=""),"",IF(AND(C136&gt;=IFERROR(VLOOKUP(B136,'Exercise Library'!$A$5:$L$52,10,FALSE),999),D136&gt;=IFERROR(VLOOKUP(B136,'Exercise Library'!$A$5:$L$52,11,FALSE),999),D136&lt;=C136),"PASS","REPEAT"))</x:f>
      </x:c>
      <x:c r="I136" s="46"/>
      <x:c r="J136" s="46"/>
    </x:row>
    <x:row r="137" ht="31" customHeight="1">
      <x:c r="A137" s="50"/>
      <x:c r="B137" s="46"/>
      <x:c r="C137" s="46"/>
      <x:c r="D137" s="46"/>
      <x:c r="E137" s="52"/>
      <x:c r="F137" s="46"/>
      <x:c r="G137" s="46"/>
      <x:c r="H137" s="48" t="str">
        <x:f>IF(OR(B137="",C137="",D137=""),"",IF(AND(C137&gt;=IFERROR(VLOOKUP(B137,'Exercise Library'!$A$5:$L$52,10,FALSE),999),D137&gt;=IFERROR(VLOOKUP(B137,'Exercise Library'!$A$5:$L$52,11,FALSE),999),D137&lt;=C137),"PASS","REPEAT"))</x:f>
      </x:c>
      <x:c r="I137" s="46"/>
      <x:c r="J137" s="46"/>
    </x:row>
    <x:row r="138" ht="31" customHeight="1">
      <x:c r="A138" s="50"/>
      <x:c r="B138" s="46"/>
      <x:c r="C138" s="46"/>
      <x:c r="D138" s="46"/>
      <x:c r="E138" s="52"/>
      <x:c r="F138" s="46"/>
      <x:c r="G138" s="46"/>
      <x:c r="H138" s="48" t="str">
        <x:f>IF(OR(B138="",C138="",D138=""),"",IF(AND(C138&gt;=IFERROR(VLOOKUP(B138,'Exercise Library'!$A$5:$L$52,10,FALSE),999),D138&gt;=IFERROR(VLOOKUP(B138,'Exercise Library'!$A$5:$L$52,11,FALSE),999),D138&lt;=C138),"PASS","REPEAT"))</x:f>
      </x:c>
      <x:c r="I138" s="46"/>
      <x:c r="J138" s="46"/>
    </x:row>
    <x:row r="139" ht="31" customHeight="1">
      <x:c r="A139" s="50"/>
      <x:c r="B139" s="46"/>
      <x:c r="C139" s="46"/>
      <x:c r="D139" s="46"/>
      <x:c r="E139" s="52"/>
      <x:c r="F139" s="46"/>
      <x:c r="G139" s="46"/>
      <x:c r="H139" s="48" t="str">
        <x:f>IF(OR(B139="",C139="",D139=""),"",IF(AND(C139&gt;=IFERROR(VLOOKUP(B139,'Exercise Library'!$A$5:$L$52,10,FALSE),999),D139&gt;=IFERROR(VLOOKUP(B139,'Exercise Library'!$A$5:$L$52,11,FALSE),999),D139&lt;=C139),"PASS","REPEAT"))</x:f>
      </x:c>
      <x:c r="I139" s="46"/>
      <x:c r="J139" s="46"/>
    </x:row>
    <x:row r="140" ht="31" customHeight="1">
      <x:c r="A140" s="50"/>
      <x:c r="B140" s="46"/>
      <x:c r="C140" s="46"/>
      <x:c r="D140" s="46"/>
      <x:c r="E140" s="52"/>
      <x:c r="F140" s="46"/>
      <x:c r="G140" s="46"/>
      <x:c r="H140" s="48" t="str">
        <x:f>IF(OR(B140="",C140="",D140=""),"",IF(AND(C140&gt;=IFERROR(VLOOKUP(B140,'Exercise Library'!$A$5:$L$52,10,FALSE),999),D140&gt;=IFERROR(VLOOKUP(B140,'Exercise Library'!$A$5:$L$52,11,FALSE),999),D140&lt;=C140),"PASS","REPEAT"))</x:f>
      </x:c>
      <x:c r="I140" s="46"/>
      <x:c r="J140" s="46"/>
    </x:row>
    <x:row r="141" ht="31" customHeight="1">
      <x:c r="A141" s="50"/>
      <x:c r="B141" s="46"/>
      <x:c r="C141" s="46"/>
      <x:c r="D141" s="46"/>
      <x:c r="E141" s="52"/>
      <x:c r="F141" s="46"/>
      <x:c r="G141" s="46"/>
      <x:c r="H141" s="48" t="str">
        <x:f>IF(OR(B141="",C141="",D141=""),"",IF(AND(C141&gt;=IFERROR(VLOOKUP(B141,'Exercise Library'!$A$5:$L$52,10,FALSE),999),D141&gt;=IFERROR(VLOOKUP(B141,'Exercise Library'!$A$5:$L$52,11,FALSE),999),D141&lt;=C141),"PASS","REPEAT"))</x:f>
      </x:c>
      <x:c r="I141" s="46"/>
      <x:c r="J141" s="46"/>
    </x:row>
    <x:row r="142" ht="31" customHeight="1">
      <x:c r="A142" s="50"/>
      <x:c r="B142" s="46"/>
      <x:c r="C142" s="46"/>
      <x:c r="D142" s="46"/>
      <x:c r="E142" s="52"/>
      <x:c r="F142" s="46"/>
      <x:c r="G142" s="46"/>
      <x:c r="H142" s="48" t="str">
        <x:f>IF(OR(B142="",C142="",D142=""),"",IF(AND(C142&gt;=IFERROR(VLOOKUP(B142,'Exercise Library'!$A$5:$L$52,10,FALSE),999),D142&gt;=IFERROR(VLOOKUP(B142,'Exercise Library'!$A$5:$L$52,11,FALSE),999),D142&lt;=C142),"PASS","REPEAT"))</x:f>
      </x:c>
      <x:c r="I142" s="46"/>
      <x:c r="J142" s="46"/>
    </x:row>
    <x:row r="143" ht="31" customHeight="1">
      <x:c r="A143" s="50"/>
      <x:c r="B143" s="46"/>
      <x:c r="C143" s="46"/>
      <x:c r="D143" s="46"/>
      <x:c r="E143" s="52"/>
      <x:c r="F143" s="46"/>
      <x:c r="G143" s="46"/>
      <x:c r="H143" s="48" t="str">
        <x:f>IF(OR(B143="",C143="",D143=""),"",IF(AND(C143&gt;=IFERROR(VLOOKUP(B143,'Exercise Library'!$A$5:$L$52,10,FALSE),999),D143&gt;=IFERROR(VLOOKUP(B143,'Exercise Library'!$A$5:$L$52,11,FALSE),999),D143&lt;=C143),"PASS","REPEAT"))</x:f>
      </x:c>
      <x:c r="I143" s="46"/>
      <x:c r="J143" s="46"/>
    </x:row>
    <x:row r="144" ht="31" customHeight="1">
      <x:c r="A144" s="50"/>
      <x:c r="B144" s="46"/>
      <x:c r="C144" s="46"/>
      <x:c r="D144" s="46"/>
      <x:c r="E144" s="52"/>
      <x:c r="F144" s="46"/>
      <x:c r="G144" s="46"/>
      <x:c r="H144" s="48" t="str">
        <x:f>IF(OR(B144="",C144="",D144=""),"",IF(AND(C144&gt;=IFERROR(VLOOKUP(B144,'Exercise Library'!$A$5:$L$52,10,FALSE),999),D144&gt;=IFERROR(VLOOKUP(B144,'Exercise Library'!$A$5:$L$52,11,FALSE),999),D144&lt;=C144),"PASS","REPEAT"))</x:f>
      </x:c>
      <x:c r="I144" s="46"/>
      <x:c r="J144" s="46"/>
    </x:row>
    <x:row r="145" ht="31" customHeight="1">
      <x:c r="A145" s="50"/>
      <x:c r="B145" s="46"/>
      <x:c r="C145" s="46"/>
      <x:c r="D145" s="46"/>
      <x:c r="E145" s="52"/>
      <x:c r="F145" s="46"/>
      <x:c r="G145" s="46"/>
      <x:c r="H145" s="48" t="str">
        <x:f>IF(OR(B145="",C145="",D145=""),"",IF(AND(C145&gt;=IFERROR(VLOOKUP(B145,'Exercise Library'!$A$5:$L$52,10,FALSE),999),D145&gt;=IFERROR(VLOOKUP(B145,'Exercise Library'!$A$5:$L$52,11,FALSE),999),D145&lt;=C145),"PASS","REPEAT"))</x:f>
      </x:c>
      <x:c r="I145" s="46"/>
      <x:c r="J145" s="46"/>
    </x:row>
    <x:row r="146" ht="31" customHeight="1">
      <x:c r="A146" s="50"/>
      <x:c r="B146" s="46"/>
      <x:c r="C146" s="46"/>
      <x:c r="D146" s="46"/>
      <x:c r="E146" s="52"/>
      <x:c r="F146" s="46"/>
      <x:c r="G146" s="46"/>
      <x:c r="H146" s="48" t="str">
        <x:f>IF(OR(B146="",C146="",D146=""),"",IF(AND(C146&gt;=IFERROR(VLOOKUP(B146,'Exercise Library'!$A$5:$L$52,10,FALSE),999),D146&gt;=IFERROR(VLOOKUP(B146,'Exercise Library'!$A$5:$L$52,11,FALSE),999),D146&lt;=C146),"PASS","REPEAT"))</x:f>
      </x:c>
      <x:c r="I146" s="46"/>
      <x:c r="J146" s="46"/>
    </x:row>
    <x:row r="147" ht="31" customHeight="1">
      <x:c r="A147" s="50"/>
      <x:c r="B147" s="46"/>
      <x:c r="C147" s="46"/>
      <x:c r="D147" s="46"/>
      <x:c r="E147" s="52"/>
      <x:c r="F147" s="46"/>
      <x:c r="G147" s="46"/>
      <x:c r="H147" s="48" t="str">
        <x:f>IF(OR(B147="",C147="",D147=""),"",IF(AND(C147&gt;=IFERROR(VLOOKUP(B147,'Exercise Library'!$A$5:$L$52,10,FALSE),999),D147&gt;=IFERROR(VLOOKUP(B147,'Exercise Library'!$A$5:$L$52,11,FALSE),999),D147&lt;=C147),"PASS","REPEAT"))</x:f>
      </x:c>
      <x:c r="I147" s="46"/>
      <x:c r="J147" s="46"/>
    </x:row>
    <x:row r="148" ht="31" customHeight="1">
      <x:c r="A148" s="50"/>
      <x:c r="B148" s="46"/>
      <x:c r="C148" s="46"/>
      <x:c r="D148" s="46"/>
      <x:c r="E148" s="52"/>
      <x:c r="F148" s="46"/>
      <x:c r="G148" s="46"/>
      <x:c r="H148" s="48" t="str">
        <x:f>IF(OR(B148="",C148="",D148=""),"",IF(AND(C148&gt;=IFERROR(VLOOKUP(B148,'Exercise Library'!$A$5:$L$52,10,FALSE),999),D148&gt;=IFERROR(VLOOKUP(B148,'Exercise Library'!$A$5:$L$52,11,FALSE),999),D148&lt;=C148),"PASS","REPEAT"))</x:f>
      </x:c>
      <x:c r="I148" s="46"/>
      <x:c r="J148" s="46"/>
    </x:row>
    <x:row r="149" ht="31" customHeight="1">
      <x:c r="A149" s="50"/>
      <x:c r="B149" s="46"/>
      <x:c r="C149" s="46"/>
      <x:c r="D149" s="46"/>
      <x:c r="E149" s="52"/>
      <x:c r="F149" s="46"/>
      <x:c r="G149" s="46"/>
      <x:c r="H149" s="48" t="str">
        <x:f>IF(OR(B149="",C149="",D149=""),"",IF(AND(C149&gt;=IFERROR(VLOOKUP(B149,'Exercise Library'!$A$5:$L$52,10,FALSE),999),D149&gt;=IFERROR(VLOOKUP(B149,'Exercise Library'!$A$5:$L$52,11,FALSE),999),D149&lt;=C149),"PASS","REPEAT"))</x:f>
      </x:c>
      <x:c r="I149" s="46"/>
      <x:c r="J149" s="46"/>
    </x:row>
    <x:row r="150" ht="31" customHeight="1">
      <x:c r="A150" s="50"/>
      <x:c r="B150" s="46"/>
      <x:c r="C150" s="46"/>
      <x:c r="D150" s="46"/>
      <x:c r="E150" s="52"/>
      <x:c r="F150" s="46"/>
      <x:c r="G150" s="46"/>
      <x:c r="H150" s="48" t="str">
        <x:f>IF(OR(B150="",C150="",D150=""),"",IF(AND(C150&gt;=IFERROR(VLOOKUP(B150,'Exercise Library'!$A$5:$L$52,10,FALSE),999),D150&gt;=IFERROR(VLOOKUP(B150,'Exercise Library'!$A$5:$L$52,11,FALSE),999),D150&lt;=C150),"PASS","REPEAT"))</x:f>
      </x:c>
      <x:c r="I150" s="46"/>
      <x:c r="J150" s="46"/>
    </x:row>
    <x:row r="151" ht="31" customHeight="1">
      <x:c r="A151" s="50"/>
      <x:c r="B151" s="46"/>
      <x:c r="C151" s="46"/>
      <x:c r="D151" s="46"/>
      <x:c r="E151" s="52"/>
      <x:c r="F151" s="46"/>
      <x:c r="G151" s="46"/>
      <x:c r="H151" s="48" t="str">
        <x:f>IF(OR(B151="",C151="",D151=""),"",IF(AND(C151&gt;=IFERROR(VLOOKUP(B151,'Exercise Library'!$A$5:$L$52,10,FALSE),999),D151&gt;=IFERROR(VLOOKUP(B151,'Exercise Library'!$A$5:$L$52,11,FALSE),999),D151&lt;=C151),"PASS","REPEAT"))</x:f>
      </x:c>
      <x:c r="I151" s="46"/>
      <x:c r="J151" s="46"/>
    </x:row>
    <x:row r="152" ht="31" customHeight="1">
      <x:c r="A152" s="50"/>
      <x:c r="B152" s="46"/>
      <x:c r="C152" s="46"/>
      <x:c r="D152" s="46"/>
      <x:c r="E152" s="52"/>
      <x:c r="F152" s="46"/>
      <x:c r="G152" s="46"/>
      <x:c r="H152" s="48" t="str">
        <x:f>IF(OR(B152="",C152="",D152=""),"",IF(AND(C152&gt;=IFERROR(VLOOKUP(B152,'Exercise Library'!$A$5:$L$52,10,FALSE),999),D152&gt;=IFERROR(VLOOKUP(B152,'Exercise Library'!$A$5:$L$52,11,FALSE),999),D152&lt;=C152),"PASS","REPEAT"))</x:f>
      </x:c>
      <x:c r="I152" s="46"/>
      <x:c r="J152" s="46"/>
    </x:row>
    <x:row r="153" ht="31" customHeight="1">
      <x:c r="A153" s="50"/>
      <x:c r="B153" s="46"/>
      <x:c r="C153" s="46"/>
      <x:c r="D153" s="46"/>
      <x:c r="E153" s="52"/>
      <x:c r="F153" s="46"/>
      <x:c r="G153" s="46"/>
      <x:c r="H153" s="48" t="str">
        <x:f>IF(OR(B153="",C153="",D153=""),"",IF(AND(C153&gt;=IFERROR(VLOOKUP(B153,'Exercise Library'!$A$5:$L$52,10,FALSE),999),D153&gt;=IFERROR(VLOOKUP(B153,'Exercise Library'!$A$5:$L$52,11,FALSE),999),D153&lt;=C153),"PASS","REPEAT"))</x:f>
      </x:c>
      <x:c r="I153" s="46"/>
      <x:c r="J153" s="46"/>
    </x:row>
    <x:row r="154" ht="31" customHeight="1">
      <x:c r="A154" s="50"/>
      <x:c r="B154" s="46"/>
      <x:c r="C154" s="46"/>
      <x:c r="D154" s="46"/>
      <x:c r="E154" s="52"/>
      <x:c r="F154" s="46"/>
      <x:c r="G154" s="46"/>
      <x:c r="H154" s="48" t="str">
        <x:f>IF(OR(B154="",C154="",D154=""),"",IF(AND(C154&gt;=IFERROR(VLOOKUP(B154,'Exercise Library'!$A$5:$L$52,10,FALSE),999),D154&gt;=IFERROR(VLOOKUP(B154,'Exercise Library'!$A$5:$L$52,11,FALSE),999),D154&lt;=C154),"PASS","REPEAT"))</x:f>
      </x:c>
      <x:c r="I154" s="46"/>
      <x:c r="J154" s="46"/>
    </x:row>
    <x:row r="155" ht="31" customHeight="1">
      <x:c r="A155" s="50"/>
      <x:c r="B155" s="46"/>
      <x:c r="C155" s="46"/>
      <x:c r="D155" s="46"/>
      <x:c r="E155" s="52"/>
      <x:c r="F155" s="46"/>
      <x:c r="G155" s="46"/>
      <x:c r="H155" s="48" t="str">
        <x:f>IF(OR(B155="",C155="",D155=""),"",IF(AND(C155&gt;=IFERROR(VLOOKUP(B155,'Exercise Library'!$A$5:$L$52,10,FALSE),999),D155&gt;=IFERROR(VLOOKUP(B155,'Exercise Library'!$A$5:$L$52,11,FALSE),999),D155&lt;=C155),"PASS","REPEAT"))</x:f>
      </x:c>
      <x:c r="I155" s="46"/>
      <x:c r="J155" s="46"/>
    </x:row>
    <x:row r="156" ht="31" customHeight="1">
      <x:c r="A156" s="50"/>
      <x:c r="B156" s="46"/>
      <x:c r="C156" s="46"/>
      <x:c r="D156" s="46"/>
      <x:c r="E156" s="52"/>
      <x:c r="F156" s="46"/>
      <x:c r="G156" s="46"/>
      <x:c r="H156" s="48" t="str">
        <x:f>IF(OR(B156="",C156="",D156=""),"",IF(AND(C156&gt;=IFERROR(VLOOKUP(B156,'Exercise Library'!$A$5:$L$52,10,FALSE),999),D156&gt;=IFERROR(VLOOKUP(B156,'Exercise Library'!$A$5:$L$52,11,FALSE),999),D156&lt;=C156),"PASS","REPEAT"))</x:f>
      </x:c>
      <x:c r="I156" s="46"/>
      <x:c r="J156" s="46"/>
    </x:row>
    <x:row r="157" ht="31" customHeight="1">
      <x:c r="A157" s="50"/>
      <x:c r="B157" s="46"/>
      <x:c r="C157" s="46"/>
      <x:c r="D157" s="46"/>
      <x:c r="E157" s="52"/>
      <x:c r="F157" s="46"/>
      <x:c r="G157" s="46"/>
      <x:c r="H157" s="48" t="str">
        <x:f>IF(OR(B157="",C157="",D157=""),"",IF(AND(C157&gt;=IFERROR(VLOOKUP(B157,'Exercise Library'!$A$5:$L$52,10,FALSE),999),D157&gt;=IFERROR(VLOOKUP(B157,'Exercise Library'!$A$5:$L$52,11,FALSE),999),D157&lt;=C157),"PASS","REPEAT"))</x:f>
      </x:c>
      <x:c r="I157" s="46"/>
      <x:c r="J157" s="46"/>
    </x:row>
    <x:row r="158" ht="31" customHeight="1">
      <x:c r="A158" s="50"/>
      <x:c r="B158" s="46"/>
      <x:c r="C158" s="46"/>
      <x:c r="D158" s="46"/>
      <x:c r="E158" s="52"/>
      <x:c r="F158" s="46"/>
      <x:c r="G158" s="46"/>
      <x:c r="H158" s="48" t="str">
        <x:f>IF(OR(B158="",C158="",D158=""),"",IF(AND(C158&gt;=IFERROR(VLOOKUP(B158,'Exercise Library'!$A$5:$L$52,10,FALSE),999),D158&gt;=IFERROR(VLOOKUP(B158,'Exercise Library'!$A$5:$L$52,11,FALSE),999),D158&lt;=C158),"PASS","REPEAT"))</x:f>
      </x:c>
      <x:c r="I158" s="46"/>
      <x:c r="J158" s="46"/>
    </x:row>
    <x:row r="159" ht="31" customHeight="1">
      <x:c r="A159" s="50"/>
      <x:c r="B159" s="46"/>
      <x:c r="C159" s="46"/>
      <x:c r="D159" s="46"/>
      <x:c r="E159" s="52"/>
      <x:c r="F159" s="46"/>
      <x:c r="G159" s="46"/>
      <x:c r="H159" s="48" t="str">
        <x:f>IF(OR(B159="",C159="",D159=""),"",IF(AND(C159&gt;=IFERROR(VLOOKUP(B159,'Exercise Library'!$A$5:$L$52,10,FALSE),999),D159&gt;=IFERROR(VLOOKUP(B159,'Exercise Library'!$A$5:$L$52,11,FALSE),999),D159&lt;=C159),"PASS","REPEAT"))</x:f>
      </x:c>
      <x:c r="I159" s="46"/>
      <x:c r="J159" s="46"/>
    </x:row>
    <x:row r="160" ht="31" customHeight="1">
      <x:c r="A160" s="50"/>
      <x:c r="B160" s="46"/>
      <x:c r="C160" s="46"/>
      <x:c r="D160" s="46"/>
      <x:c r="E160" s="52"/>
      <x:c r="F160" s="46"/>
      <x:c r="G160" s="46"/>
      <x:c r="H160" s="48" t="str">
        <x:f>IF(OR(B160="",C160="",D160=""),"",IF(AND(C160&gt;=IFERROR(VLOOKUP(B160,'Exercise Library'!$A$5:$L$52,10,FALSE),999),D160&gt;=IFERROR(VLOOKUP(B160,'Exercise Library'!$A$5:$L$52,11,FALSE),999),D160&lt;=C160),"PASS","REPEAT"))</x:f>
      </x:c>
      <x:c r="I160" s="46"/>
      <x:c r="J160" s="46"/>
    </x:row>
    <x:row r="161" ht="31" customHeight="1">
      <x:c r="A161" s="50"/>
      <x:c r="B161" s="46"/>
      <x:c r="C161" s="46"/>
      <x:c r="D161" s="46"/>
      <x:c r="E161" s="52"/>
      <x:c r="F161" s="46"/>
      <x:c r="G161" s="46"/>
      <x:c r="H161" s="48" t="str">
        <x:f>IF(OR(B161="",C161="",D161=""),"",IF(AND(C161&gt;=IFERROR(VLOOKUP(B161,'Exercise Library'!$A$5:$L$52,10,FALSE),999),D161&gt;=IFERROR(VLOOKUP(B161,'Exercise Library'!$A$5:$L$52,11,FALSE),999),D161&lt;=C161),"PASS","REPEAT"))</x:f>
      </x:c>
      <x:c r="I161" s="46"/>
      <x:c r="J161" s="46"/>
    </x:row>
    <x:row r="162" ht="31" customHeight="1">
      <x:c r="A162" s="50"/>
      <x:c r="B162" s="46"/>
      <x:c r="C162" s="46"/>
      <x:c r="D162" s="46"/>
      <x:c r="E162" s="52"/>
      <x:c r="F162" s="46"/>
      <x:c r="G162" s="46"/>
      <x:c r="H162" s="48" t="str">
        <x:f>IF(OR(B162="",C162="",D162=""),"",IF(AND(C162&gt;=IFERROR(VLOOKUP(B162,'Exercise Library'!$A$5:$L$52,10,FALSE),999),D162&gt;=IFERROR(VLOOKUP(B162,'Exercise Library'!$A$5:$L$52,11,FALSE),999),D162&lt;=C162),"PASS","REPEAT"))</x:f>
      </x:c>
      <x:c r="I162" s="46"/>
      <x:c r="J162" s="46"/>
    </x:row>
    <x:row r="163" ht="31" customHeight="1">
      <x:c r="A163" s="50"/>
      <x:c r="B163" s="46"/>
      <x:c r="C163" s="46"/>
      <x:c r="D163" s="46"/>
      <x:c r="E163" s="52"/>
      <x:c r="F163" s="46"/>
      <x:c r="G163" s="46"/>
      <x:c r="H163" s="48" t="str">
        <x:f>IF(OR(B163="",C163="",D163=""),"",IF(AND(C163&gt;=IFERROR(VLOOKUP(B163,'Exercise Library'!$A$5:$L$52,10,FALSE),999),D163&gt;=IFERROR(VLOOKUP(B163,'Exercise Library'!$A$5:$L$52,11,FALSE),999),D163&lt;=C163),"PASS","REPEAT"))</x:f>
      </x:c>
      <x:c r="I163" s="46"/>
      <x:c r="J163" s="46"/>
    </x:row>
    <x:row r="164" ht="31" customHeight="1">
      <x:c r="A164" s="50"/>
      <x:c r="B164" s="46"/>
      <x:c r="C164" s="46"/>
      <x:c r="D164" s="46"/>
      <x:c r="E164" s="52"/>
      <x:c r="F164" s="46"/>
      <x:c r="G164" s="46"/>
      <x:c r="H164" s="48" t="str">
        <x:f>IF(OR(B164="",C164="",D164=""),"",IF(AND(C164&gt;=IFERROR(VLOOKUP(B164,'Exercise Library'!$A$5:$L$52,10,FALSE),999),D164&gt;=IFERROR(VLOOKUP(B164,'Exercise Library'!$A$5:$L$52,11,FALSE),999),D164&lt;=C164),"PASS","REPEAT"))</x:f>
      </x:c>
      <x:c r="I164" s="46"/>
      <x:c r="J164" s="46"/>
    </x:row>
    <x:row r="165" ht="31" customHeight="1">
      <x:c r="A165" s="50"/>
      <x:c r="B165" s="46"/>
      <x:c r="C165" s="46"/>
      <x:c r="D165" s="46"/>
      <x:c r="E165" s="52"/>
      <x:c r="F165" s="46"/>
      <x:c r="G165" s="46"/>
      <x:c r="H165" s="48" t="str">
        <x:f>IF(OR(B165="",C165="",D165=""),"",IF(AND(C165&gt;=IFERROR(VLOOKUP(B165,'Exercise Library'!$A$5:$L$52,10,FALSE),999),D165&gt;=IFERROR(VLOOKUP(B165,'Exercise Library'!$A$5:$L$52,11,FALSE),999),D165&lt;=C165),"PASS","REPEAT"))</x:f>
      </x:c>
      <x:c r="I165" s="46"/>
      <x:c r="J165" s="46"/>
    </x:row>
    <x:row r="166" ht="31" customHeight="1">
      <x:c r="A166" s="50"/>
      <x:c r="B166" s="46"/>
      <x:c r="C166" s="46"/>
      <x:c r="D166" s="46"/>
      <x:c r="E166" s="52"/>
      <x:c r="F166" s="46"/>
      <x:c r="G166" s="46"/>
      <x:c r="H166" s="48" t="str">
        <x:f>IF(OR(B166="",C166="",D166=""),"",IF(AND(C166&gt;=IFERROR(VLOOKUP(B166,'Exercise Library'!$A$5:$L$52,10,FALSE),999),D166&gt;=IFERROR(VLOOKUP(B166,'Exercise Library'!$A$5:$L$52,11,FALSE),999),D166&lt;=C166),"PASS","REPEAT"))</x:f>
      </x:c>
      <x:c r="I166" s="46"/>
      <x:c r="J166" s="46"/>
    </x:row>
    <x:row r="167" ht="31" customHeight="1">
      <x:c r="A167" s="50"/>
      <x:c r="B167" s="46"/>
      <x:c r="C167" s="46"/>
      <x:c r="D167" s="46"/>
      <x:c r="E167" s="52"/>
      <x:c r="F167" s="46"/>
      <x:c r="G167" s="46"/>
      <x:c r="H167" s="48" t="str">
        <x:f>IF(OR(B167="",C167="",D167=""),"",IF(AND(C167&gt;=IFERROR(VLOOKUP(B167,'Exercise Library'!$A$5:$L$52,10,FALSE),999),D167&gt;=IFERROR(VLOOKUP(B167,'Exercise Library'!$A$5:$L$52,11,FALSE),999),D167&lt;=C167),"PASS","REPEAT"))</x:f>
      </x:c>
      <x:c r="I167" s="46"/>
      <x:c r="J167" s="46"/>
    </x:row>
    <x:row r="168" ht="31" customHeight="1">
      <x:c r="A168" s="50"/>
      <x:c r="B168" s="46"/>
      <x:c r="C168" s="46"/>
      <x:c r="D168" s="46"/>
      <x:c r="E168" s="52"/>
      <x:c r="F168" s="46"/>
      <x:c r="G168" s="46"/>
      <x:c r="H168" s="48" t="str">
        <x:f>IF(OR(B168="",C168="",D168=""),"",IF(AND(C168&gt;=IFERROR(VLOOKUP(B168,'Exercise Library'!$A$5:$L$52,10,FALSE),999),D168&gt;=IFERROR(VLOOKUP(B168,'Exercise Library'!$A$5:$L$52,11,FALSE),999),D168&lt;=C168),"PASS","REPEAT"))</x:f>
      </x:c>
      <x:c r="I168" s="46"/>
      <x:c r="J168" s="46"/>
    </x:row>
    <x:row r="169" ht="31" customHeight="1">
      <x:c r="A169" s="50"/>
      <x:c r="B169" s="46"/>
      <x:c r="C169" s="46"/>
      <x:c r="D169" s="46"/>
      <x:c r="E169" s="52"/>
      <x:c r="F169" s="46"/>
      <x:c r="G169" s="46"/>
      <x:c r="H169" s="48" t="str">
        <x:f>IF(OR(B169="",C169="",D169=""),"",IF(AND(C169&gt;=IFERROR(VLOOKUP(B169,'Exercise Library'!$A$5:$L$52,10,FALSE),999),D169&gt;=IFERROR(VLOOKUP(B169,'Exercise Library'!$A$5:$L$52,11,FALSE),999),D169&lt;=C169),"PASS","REPEAT"))</x:f>
      </x:c>
      <x:c r="I169" s="46"/>
      <x:c r="J169" s="46"/>
    </x:row>
    <x:row r="170" ht="31" customHeight="1">
      <x:c r="A170" s="50"/>
      <x:c r="B170" s="46"/>
      <x:c r="C170" s="46"/>
      <x:c r="D170" s="46"/>
      <x:c r="E170" s="52"/>
      <x:c r="F170" s="46"/>
      <x:c r="G170" s="46"/>
      <x:c r="H170" s="48" t="str">
        <x:f>IF(OR(B170="",C170="",D170=""),"",IF(AND(C170&gt;=IFERROR(VLOOKUP(B170,'Exercise Library'!$A$5:$L$52,10,FALSE),999),D170&gt;=IFERROR(VLOOKUP(B170,'Exercise Library'!$A$5:$L$52,11,FALSE),999),D170&lt;=C170),"PASS","REPEAT"))</x:f>
      </x:c>
      <x:c r="I170" s="46"/>
      <x:c r="J170" s="46"/>
    </x:row>
    <x:row r="171" ht="31" customHeight="1">
      <x:c r="A171" s="50"/>
      <x:c r="B171" s="46"/>
      <x:c r="C171" s="46"/>
      <x:c r="D171" s="46"/>
      <x:c r="E171" s="52"/>
      <x:c r="F171" s="46"/>
      <x:c r="G171" s="46"/>
      <x:c r="H171" s="48" t="str">
        <x:f>IF(OR(B171="",C171="",D171=""),"",IF(AND(C171&gt;=IFERROR(VLOOKUP(B171,'Exercise Library'!$A$5:$L$52,10,FALSE),999),D171&gt;=IFERROR(VLOOKUP(B171,'Exercise Library'!$A$5:$L$52,11,FALSE),999),D171&lt;=C171),"PASS","REPEAT"))</x:f>
      </x:c>
      <x:c r="I171" s="46"/>
      <x:c r="J171" s="46"/>
    </x:row>
    <x:row r="172" ht="31" customHeight="1">
      <x:c r="A172" s="50"/>
      <x:c r="B172" s="46"/>
      <x:c r="C172" s="46"/>
      <x:c r="D172" s="46"/>
      <x:c r="E172" s="52"/>
      <x:c r="F172" s="46"/>
      <x:c r="G172" s="46"/>
      <x:c r="H172" s="48" t="str">
        <x:f>IF(OR(B172="",C172="",D172=""),"",IF(AND(C172&gt;=IFERROR(VLOOKUP(B172,'Exercise Library'!$A$5:$L$52,10,FALSE),999),D172&gt;=IFERROR(VLOOKUP(B172,'Exercise Library'!$A$5:$L$52,11,FALSE),999),D172&lt;=C172),"PASS","REPEAT"))</x:f>
      </x:c>
      <x:c r="I172" s="46"/>
      <x:c r="J172" s="46"/>
    </x:row>
    <x:row r="173" ht="31" customHeight="1">
      <x:c r="A173" s="50"/>
      <x:c r="B173" s="46"/>
      <x:c r="C173" s="46"/>
      <x:c r="D173" s="46"/>
      <x:c r="E173" s="52"/>
      <x:c r="F173" s="46"/>
      <x:c r="G173" s="46"/>
      <x:c r="H173" s="48" t="str">
        <x:f>IF(OR(B173="",C173="",D173=""),"",IF(AND(C173&gt;=IFERROR(VLOOKUP(B173,'Exercise Library'!$A$5:$L$52,10,FALSE),999),D173&gt;=IFERROR(VLOOKUP(B173,'Exercise Library'!$A$5:$L$52,11,FALSE),999),D173&lt;=C173),"PASS","REPEAT"))</x:f>
      </x:c>
      <x:c r="I173" s="46"/>
      <x:c r="J173" s="46"/>
    </x:row>
    <x:row r="174" ht="31" customHeight="1">
      <x:c r="A174" s="50"/>
      <x:c r="B174" s="46"/>
      <x:c r="C174" s="46"/>
      <x:c r="D174" s="46"/>
      <x:c r="E174" s="52"/>
      <x:c r="F174" s="46"/>
      <x:c r="G174" s="46"/>
      <x:c r="H174" s="48" t="str">
        <x:f>IF(OR(B174="",C174="",D174=""),"",IF(AND(C174&gt;=IFERROR(VLOOKUP(B174,'Exercise Library'!$A$5:$L$52,10,FALSE),999),D174&gt;=IFERROR(VLOOKUP(B174,'Exercise Library'!$A$5:$L$52,11,FALSE),999),D174&lt;=C174),"PASS","REPEAT"))</x:f>
      </x:c>
      <x:c r="I174" s="46"/>
      <x:c r="J174" s="46"/>
    </x:row>
    <x:row r="175" ht="31" customHeight="1">
      <x:c r="A175" s="50"/>
      <x:c r="B175" s="46"/>
      <x:c r="C175" s="46"/>
      <x:c r="D175" s="46"/>
      <x:c r="E175" s="52"/>
      <x:c r="F175" s="46"/>
      <x:c r="G175" s="46"/>
      <x:c r="H175" s="48" t="str">
        <x:f>IF(OR(B175="",C175="",D175=""),"",IF(AND(C175&gt;=IFERROR(VLOOKUP(B175,'Exercise Library'!$A$5:$L$52,10,FALSE),999),D175&gt;=IFERROR(VLOOKUP(B175,'Exercise Library'!$A$5:$L$52,11,FALSE),999),D175&lt;=C175),"PASS","REPEAT"))</x:f>
      </x:c>
      <x:c r="I175" s="46"/>
      <x:c r="J175" s="46"/>
    </x:row>
    <x:row r="176" ht="31" customHeight="1">
      <x:c r="A176" s="50"/>
      <x:c r="B176" s="46"/>
      <x:c r="C176" s="46"/>
      <x:c r="D176" s="46"/>
      <x:c r="E176" s="52"/>
      <x:c r="F176" s="46"/>
      <x:c r="G176" s="46"/>
      <x:c r="H176" s="48" t="str">
        <x:f>IF(OR(B176="",C176="",D176=""),"",IF(AND(C176&gt;=IFERROR(VLOOKUP(B176,'Exercise Library'!$A$5:$L$52,10,FALSE),999),D176&gt;=IFERROR(VLOOKUP(B176,'Exercise Library'!$A$5:$L$52,11,FALSE),999),D176&lt;=C176),"PASS","REPEAT"))</x:f>
      </x:c>
      <x:c r="I176" s="46"/>
      <x:c r="J176" s="46"/>
    </x:row>
    <x:row r="177" ht="31" customHeight="1">
      <x:c r="A177" s="50"/>
      <x:c r="B177" s="46"/>
      <x:c r="C177" s="46"/>
      <x:c r="D177" s="46"/>
      <x:c r="E177" s="52"/>
      <x:c r="F177" s="46"/>
      <x:c r="G177" s="46"/>
      <x:c r="H177" s="48" t="str">
        <x:f>IF(OR(B177="",C177="",D177=""),"",IF(AND(C177&gt;=IFERROR(VLOOKUP(B177,'Exercise Library'!$A$5:$L$52,10,FALSE),999),D177&gt;=IFERROR(VLOOKUP(B177,'Exercise Library'!$A$5:$L$52,11,FALSE),999),D177&lt;=C177),"PASS","REPEAT"))</x:f>
      </x:c>
      <x:c r="I177" s="46"/>
      <x:c r="J177" s="46"/>
    </x:row>
    <x:row r="178" ht="31" customHeight="1">
      <x:c r="A178" s="50"/>
      <x:c r="B178" s="46"/>
      <x:c r="C178" s="46"/>
      <x:c r="D178" s="46"/>
      <x:c r="E178" s="52"/>
      <x:c r="F178" s="46"/>
      <x:c r="G178" s="46"/>
      <x:c r="H178" s="48" t="str">
        <x:f>IF(OR(B178="",C178="",D178=""),"",IF(AND(C178&gt;=IFERROR(VLOOKUP(B178,'Exercise Library'!$A$5:$L$52,10,FALSE),999),D178&gt;=IFERROR(VLOOKUP(B178,'Exercise Library'!$A$5:$L$52,11,FALSE),999),D178&lt;=C178),"PASS","REPEAT"))</x:f>
      </x:c>
      <x:c r="I178" s="46"/>
      <x:c r="J178" s="46"/>
    </x:row>
    <x:row r="179" ht="31" customHeight="1">
      <x:c r="A179" s="50"/>
      <x:c r="B179" s="46"/>
      <x:c r="C179" s="46"/>
      <x:c r="D179" s="46"/>
      <x:c r="E179" s="52"/>
      <x:c r="F179" s="46"/>
      <x:c r="G179" s="46"/>
      <x:c r="H179" s="48" t="str">
        <x:f>IF(OR(B179="",C179="",D179=""),"",IF(AND(C179&gt;=IFERROR(VLOOKUP(B179,'Exercise Library'!$A$5:$L$52,10,FALSE),999),D179&gt;=IFERROR(VLOOKUP(B179,'Exercise Library'!$A$5:$L$52,11,FALSE),999),D179&lt;=C179),"PASS","REPEAT"))</x:f>
      </x:c>
      <x:c r="I179" s="46"/>
      <x:c r="J179" s="46"/>
    </x:row>
    <x:row r="180" ht="31" customHeight="1">
      <x:c r="A180" s="50"/>
      <x:c r="B180" s="46"/>
      <x:c r="C180" s="46"/>
      <x:c r="D180" s="46"/>
      <x:c r="E180" s="52"/>
      <x:c r="F180" s="46"/>
      <x:c r="G180" s="46"/>
      <x:c r="H180" s="48" t="str">
        <x:f>IF(OR(B180="",C180="",D180=""),"",IF(AND(C180&gt;=IFERROR(VLOOKUP(B180,'Exercise Library'!$A$5:$L$52,10,FALSE),999),D180&gt;=IFERROR(VLOOKUP(B180,'Exercise Library'!$A$5:$L$52,11,FALSE),999),D180&lt;=C180),"PASS","REPEAT"))</x:f>
      </x:c>
      <x:c r="I180" s="46"/>
      <x:c r="J180" s="46"/>
    </x:row>
    <x:row r="181" ht="31" customHeight="1">
      <x:c r="A181" s="50"/>
      <x:c r="B181" s="46"/>
      <x:c r="C181" s="46"/>
      <x:c r="D181" s="46"/>
      <x:c r="E181" s="52"/>
      <x:c r="F181" s="46"/>
      <x:c r="G181" s="46"/>
      <x:c r="H181" s="48" t="str">
        <x:f>IF(OR(B181="",C181="",D181=""),"",IF(AND(C181&gt;=IFERROR(VLOOKUP(B181,'Exercise Library'!$A$5:$L$52,10,FALSE),999),D181&gt;=IFERROR(VLOOKUP(B181,'Exercise Library'!$A$5:$L$52,11,FALSE),999),D181&lt;=C181),"PASS","REPEAT"))</x:f>
      </x:c>
      <x:c r="I181" s="46"/>
      <x:c r="J181" s="46"/>
    </x:row>
    <x:row r="182" ht="31" customHeight="1">
      <x:c r="A182" s="50"/>
      <x:c r="B182" s="46"/>
      <x:c r="C182" s="46"/>
      <x:c r="D182" s="46"/>
      <x:c r="E182" s="52"/>
      <x:c r="F182" s="46"/>
      <x:c r="G182" s="46"/>
      <x:c r="H182" s="48" t="str">
        <x:f>IF(OR(B182="",C182="",D182=""),"",IF(AND(C182&gt;=IFERROR(VLOOKUP(B182,'Exercise Library'!$A$5:$L$52,10,FALSE),999),D182&gt;=IFERROR(VLOOKUP(B182,'Exercise Library'!$A$5:$L$52,11,FALSE),999),D182&lt;=C182),"PASS","REPEAT"))</x:f>
      </x:c>
      <x:c r="I182" s="46"/>
      <x:c r="J182" s="46"/>
    </x:row>
    <x:row r="183" ht="31" customHeight="1">
      <x:c r="A183" s="50"/>
      <x:c r="B183" s="46"/>
      <x:c r="C183" s="46"/>
      <x:c r="D183" s="46"/>
      <x:c r="E183" s="52"/>
      <x:c r="F183" s="46"/>
      <x:c r="G183" s="46"/>
      <x:c r="H183" s="48" t="str">
        <x:f>IF(OR(B183="",C183="",D183=""),"",IF(AND(C183&gt;=IFERROR(VLOOKUP(B183,'Exercise Library'!$A$5:$L$52,10,FALSE),999),D183&gt;=IFERROR(VLOOKUP(B183,'Exercise Library'!$A$5:$L$52,11,FALSE),999),D183&lt;=C183),"PASS","REPEAT"))</x:f>
      </x:c>
      <x:c r="I183" s="46"/>
      <x:c r="J183" s="46"/>
    </x:row>
    <x:row r="184" ht="31" customHeight="1">
      <x:c r="A184" s="50"/>
      <x:c r="B184" s="46"/>
      <x:c r="C184" s="46"/>
      <x:c r="D184" s="46"/>
      <x:c r="E184" s="52"/>
      <x:c r="F184" s="46"/>
      <x:c r="G184" s="46"/>
      <x:c r="H184" s="48" t="str">
        <x:f>IF(OR(B184="",C184="",D184=""),"",IF(AND(C184&gt;=IFERROR(VLOOKUP(B184,'Exercise Library'!$A$5:$L$52,10,FALSE),999),D184&gt;=IFERROR(VLOOKUP(B184,'Exercise Library'!$A$5:$L$52,11,FALSE),999),D184&lt;=C184),"PASS","REPEAT"))</x:f>
      </x:c>
      <x:c r="I184" s="46"/>
      <x:c r="J184" s="46"/>
    </x:row>
    <x:row r="185" ht="31" customHeight="1">
      <x:c r="A185" s="50"/>
      <x:c r="B185" s="46"/>
      <x:c r="C185" s="46"/>
      <x:c r="D185" s="46"/>
      <x:c r="E185" s="52"/>
      <x:c r="F185" s="46"/>
      <x:c r="G185" s="46"/>
      <x:c r="H185" s="48" t="str">
        <x:f>IF(OR(B185="",C185="",D185=""),"",IF(AND(C185&gt;=IFERROR(VLOOKUP(B185,'Exercise Library'!$A$5:$L$52,10,FALSE),999),D185&gt;=IFERROR(VLOOKUP(B185,'Exercise Library'!$A$5:$L$52,11,FALSE),999),D185&lt;=C185),"PASS","REPEAT"))</x:f>
      </x:c>
      <x:c r="I185" s="46"/>
      <x:c r="J185" s="46"/>
    </x:row>
    <x:row r="186" ht="31" customHeight="1">
      <x:c r="A186" s="50"/>
      <x:c r="B186" s="46"/>
      <x:c r="C186" s="46"/>
      <x:c r="D186" s="46"/>
      <x:c r="E186" s="52"/>
      <x:c r="F186" s="46"/>
      <x:c r="G186" s="46"/>
      <x:c r="H186" s="48" t="str">
        <x:f>IF(OR(B186="",C186="",D186=""),"",IF(AND(C186&gt;=IFERROR(VLOOKUP(B186,'Exercise Library'!$A$5:$L$52,10,FALSE),999),D186&gt;=IFERROR(VLOOKUP(B186,'Exercise Library'!$A$5:$L$52,11,FALSE),999),D186&lt;=C186),"PASS","REPEAT"))</x:f>
      </x:c>
      <x:c r="I186" s="46"/>
      <x:c r="J186" s="46"/>
    </x:row>
    <x:row r="187" ht="31" customHeight="1">
      <x:c r="A187" s="50"/>
      <x:c r="B187" s="46"/>
      <x:c r="C187" s="46"/>
      <x:c r="D187" s="46"/>
      <x:c r="E187" s="52"/>
      <x:c r="F187" s="46"/>
      <x:c r="G187" s="46"/>
      <x:c r="H187" s="48" t="str">
        <x:f>IF(OR(B187="",C187="",D187=""),"",IF(AND(C187&gt;=IFERROR(VLOOKUP(B187,'Exercise Library'!$A$5:$L$52,10,FALSE),999),D187&gt;=IFERROR(VLOOKUP(B187,'Exercise Library'!$A$5:$L$52,11,FALSE),999),D187&lt;=C187),"PASS","REPEAT"))</x:f>
      </x:c>
      <x:c r="I187" s="46"/>
      <x:c r="J187" s="46"/>
    </x:row>
    <x:row r="188" ht="31" customHeight="1">
      <x:c r="A188" s="50"/>
      <x:c r="B188" s="46"/>
      <x:c r="C188" s="46"/>
      <x:c r="D188" s="46"/>
      <x:c r="E188" s="52"/>
      <x:c r="F188" s="46"/>
      <x:c r="G188" s="46"/>
      <x:c r="H188" s="48" t="str">
        <x:f>IF(OR(B188="",C188="",D188=""),"",IF(AND(C188&gt;=IFERROR(VLOOKUP(B188,'Exercise Library'!$A$5:$L$52,10,FALSE),999),D188&gt;=IFERROR(VLOOKUP(B188,'Exercise Library'!$A$5:$L$52,11,FALSE),999),D188&lt;=C188),"PASS","REPEAT"))</x:f>
      </x:c>
      <x:c r="I188" s="46"/>
      <x:c r="J188" s="46"/>
    </x:row>
    <x:row r="189" ht="31" customHeight="1">
      <x:c r="A189" s="50"/>
      <x:c r="B189" s="46"/>
      <x:c r="C189" s="46"/>
      <x:c r="D189" s="46"/>
      <x:c r="E189" s="52"/>
      <x:c r="F189" s="46"/>
      <x:c r="G189" s="46"/>
      <x:c r="H189" s="48" t="str">
        <x:f>IF(OR(B189="",C189="",D189=""),"",IF(AND(C189&gt;=IFERROR(VLOOKUP(B189,'Exercise Library'!$A$5:$L$52,10,FALSE),999),D189&gt;=IFERROR(VLOOKUP(B189,'Exercise Library'!$A$5:$L$52,11,FALSE),999),D189&lt;=C189),"PASS","REPEAT"))</x:f>
      </x:c>
      <x:c r="I189" s="46"/>
      <x:c r="J189" s="46"/>
    </x:row>
    <x:row r="190" ht="31" customHeight="1">
      <x:c r="A190" s="50"/>
      <x:c r="B190" s="46"/>
      <x:c r="C190" s="46"/>
      <x:c r="D190" s="46"/>
      <x:c r="E190" s="52"/>
      <x:c r="F190" s="46"/>
      <x:c r="G190" s="46"/>
      <x:c r="H190" s="48" t="str">
        <x:f>IF(OR(B190="",C190="",D190=""),"",IF(AND(C190&gt;=IFERROR(VLOOKUP(B190,'Exercise Library'!$A$5:$L$52,10,FALSE),999),D190&gt;=IFERROR(VLOOKUP(B190,'Exercise Library'!$A$5:$L$52,11,FALSE),999),D190&lt;=C190),"PASS","REPEAT"))</x:f>
      </x:c>
      <x:c r="I190" s="46"/>
      <x:c r="J190" s="46"/>
    </x:row>
    <x:row r="191" ht="31" customHeight="1">
      <x:c r="A191" s="50"/>
      <x:c r="B191" s="46"/>
      <x:c r="C191" s="46"/>
      <x:c r="D191" s="46"/>
      <x:c r="E191" s="52"/>
      <x:c r="F191" s="46"/>
      <x:c r="G191" s="46"/>
      <x:c r="H191" s="48" t="str">
        <x:f>IF(OR(B191="",C191="",D191=""),"",IF(AND(C191&gt;=IFERROR(VLOOKUP(B191,'Exercise Library'!$A$5:$L$52,10,FALSE),999),D191&gt;=IFERROR(VLOOKUP(B191,'Exercise Library'!$A$5:$L$52,11,FALSE),999),D191&lt;=C191),"PASS","REPEAT"))</x:f>
      </x:c>
      <x:c r="I191" s="46"/>
      <x:c r="J191" s="46"/>
    </x:row>
    <x:row r="192" ht="31" customHeight="1">
      <x:c r="A192" s="50"/>
      <x:c r="B192" s="46"/>
      <x:c r="C192" s="46"/>
      <x:c r="D192" s="46"/>
      <x:c r="E192" s="52"/>
      <x:c r="F192" s="46"/>
      <x:c r="G192" s="46"/>
      <x:c r="H192" s="48" t="str">
        <x:f>IF(OR(B192="",C192="",D192=""),"",IF(AND(C192&gt;=IFERROR(VLOOKUP(B192,'Exercise Library'!$A$5:$L$52,10,FALSE),999),D192&gt;=IFERROR(VLOOKUP(B192,'Exercise Library'!$A$5:$L$52,11,FALSE),999),D192&lt;=C192),"PASS","REPEAT"))</x:f>
      </x:c>
      <x:c r="I192" s="46"/>
      <x:c r="J192" s="46"/>
    </x:row>
    <x:row r="193" ht="31" customHeight="1">
      <x:c r="A193" s="50"/>
      <x:c r="B193" s="46"/>
      <x:c r="C193" s="46"/>
      <x:c r="D193" s="46"/>
      <x:c r="E193" s="52"/>
      <x:c r="F193" s="46"/>
      <x:c r="G193" s="46"/>
      <x:c r="H193" s="48" t="str">
        <x:f>IF(OR(B193="",C193="",D193=""),"",IF(AND(C193&gt;=IFERROR(VLOOKUP(B193,'Exercise Library'!$A$5:$L$52,10,FALSE),999),D193&gt;=IFERROR(VLOOKUP(B193,'Exercise Library'!$A$5:$L$52,11,FALSE),999),D193&lt;=C193),"PASS","REPEAT"))</x:f>
      </x:c>
      <x:c r="I193" s="46"/>
      <x:c r="J193" s="46"/>
    </x:row>
    <x:row r="194" ht="31" customHeight="1">
      <x:c r="A194" s="50"/>
      <x:c r="B194" s="46"/>
      <x:c r="C194" s="46"/>
      <x:c r="D194" s="46"/>
      <x:c r="E194" s="52"/>
      <x:c r="F194" s="46"/>
      <x:c r="G194" s="46"/>
      <x:c r="H194" s="48" t="str">
        <x:f>IF(OR(B194="",C194="",D194=""),"",IF(AND(C194&gt;=IFERROR(VLOOKUP(B194,'Exercise Library'!$A$5:$L$52,10,FALSE),999),D194&gt;=IFERROR(VLOOKUP(B194,'Exercise Library'!$A$5:$L$52,11,FALSE),999),D194&lt;=C194),"PASS","REPEAT"))</x:f>
      </x:c>
      <x:c r="I194" s="46"/>
      <x:c r="J194" s="46"/>
    </x:row>
    <x:row r="195" ht="31" customHeight="1">
      <x:c r="A195" s="50"/>
      <x:c r="B195" s="46"/>
      <x:c r="C195" s="46"/>
      <x:c r="D195" s="46"/>
      <x:c r="E195" s="52"/>
      <x:c r="F195" s="46"/>
      <x:c r="G195" s="46"/>
      <x:c r="H195" s="48" t="str">
        <x:f>IF(OR(B195="",C195="",D195=""),"",IF(AND(C195&gt;=IFERROR(VLOOKUP(B195,'Exercise Library'!$A$5:$L$52,10,FALSE),999),D195&gt;=IFERROR(VLOOKUP(B195,'Exercise Library'!$A$5:$L$52,11,FALSE),999),D195&lt;=C195),"PASS","REPEAT"))</x:f>
      </x:c>
      <x:c r="I195" s="46"/>
      <x:c r="J195" s="46"/>
    </x:row>
    <x:row r="196" ht="31" customHeight="1">
      <x:c r="A196" s="50"/>
      <x:c r="B196" s="46"/>
      <x:c r="C196" s="46"/>
      <x:c r="D196" s="46"/>
      <x:c r="E196" s="52"/>
      <x:c r="F196" s="46"/>
      <x:c r="G196" s="46"/>
      <x:c r="H196" s="48" t="str">
        <x:f>IF(OR(B196="",C196="",D196=""),"",IF(AND(C196&gt;=IFERROR(VLOOKUP(B196,'Exercise Library'!$A$5:$L$52,10,FALSE),999),D196&gt;=IFERROR(VLOOKUP(B196,'Exercise Library'!$A$5:$L$52,11,FALSE),999),D196&lt;=C196),"PASS","REPEAT"))</x:f>
      </x:c>
      <x:c r="I196" s="46"/>
      <x:c r="J196" s="46"/>
    </x:row>
    <x:row r="197" ht="31" customHeight="1">
      <x:c r="A197" s="50"/>
      <x:c r="B197" s="46"/>
      <x:c r="C197" s="46"/>
      <x:c r="D197" s="46"/>
      <x:c r="E197" s="52"/>
      <x:c r="F197" s="46"/>
      <x:c r="G197" s="46"/>
      <x:c r="H197" s="48" t="str">
        <x:f>IF(OR(B197="",C197="",D197=""),"",IF(AND(C197&gt;=IFERROR(VLOOKUP(B197,'Exercise Library'!$A$5:$L$52,10,FALSE),999),D197&gt;=IFERROR(VLOOKUP(B197,'Exercise Library'!$A$5:$L$52,11,FALSE),999),D197&lt;=C197),"PASS","REPEAT"))</x:f>
      </x:c>
      <x:c r="I197" s="46"/>
      <x:c r="J197" s="46"/>
    </x:row>
    <x:row r="198" ht="31" customHeight="1">
      <x:c r="A198" s="50"/>
      <x:c r="B198" s="46"/>
      <x:c r="C198" s="46"/>
      <x:c r="D198" s="46"/>
      <x:c r="E198" s="52"/>
      <x:c r="F198" s="46"/>
      <x:c r="G198" s="46"/>
      <x:c r="H198" s="48" t="str">
        <x:f>IF(OR(B198="",C198="",D198=""),"",IF(AND(C198&gt;=IFERROR(VLOOKUP(B198,'Exercise Library'!$A$5:$L$52,10,FALSE),999),D198&gt;=IFERROR(VLOOKUP(B198,'Exercise Library'!$A$5:$L$52,11,FALSE),999),D198&lt;=C198),"PASS","REPEAT"))</x:f>
      </x:c>
      <x:c r="I198" s="46"/>
      <x:c r="J198" s="46"/>
    </x:row>
    <x:row r="199" ht="31" customHeight="1">
      <x:c r="A199" s="50"/>
      <x:c r="B199" s="46"/>
      <x:c r="C199" s="46"/>
      <x:c r="D199" s="46"/>
      <x:c r="E199" s="52"/>
      <x:c r="F199" s="46"/>
      <x:c r="G199" s="46"/>
      <x:c r="H199" s="48" t="str">
        <x:f>IF(OR(B199="",C199="",D199=""),"",IF(AND(C199&gt;=IFERROR(VLOOKUP(B199,'Exercise Library'!$A$5:$L$52,10,FALSE),999),D199&gt;=IFERROR(VLOOKUP(B199,'Exercise Library'!$A$5:$L$52,11,FALSE),999),D199&lt;=C199),"PASS","REPEAT"))</x:f>
      </x:c>
      <x:c r="I199" s="46"/>
      <x:c r="J199" s="46"/>
    </x:row>
    <x:row r="200" ht="31" customHeight="1">
      <x:c r="A200" s="50"/>
      <x:c r="B200" s="46"/>
      <x:c r="C200" s="46"/>
      <x:c r="D200" s="46"/>
      <x:c r="E200" s="52"/>
      <x:c r="F200" s="46"/>
      <x:c r="G200" s="46"/>
      <x:c r="H200" s="48" t="str">
        <x:f>IF(OR(B200="",C200="",D200=""),"",IF(AND(C200&gt;=IFERROR(VLOOKUP(B200,'Exercise Library'!$A$5:$L$52,10,FALSE),999),D200&gt;=IFERROR(VLOOKUP(B200,'Exercise Library'!$A$5:$L$52,11,FALSE),999),D200&lt;=C200),"PASS","REPEAT"))</x:f>
      </x:c>
      <x:c r="I200" s="46"/>
      <x:c r="J200" s="46"/>
    </x:row>
    <x:row r="201" ht="31" customHeight="1">
      <x:c r="A201" s="50"/>
      <x:c r="B201" s="46"/>
      <x:c r="C201" s="46"/>
      <x:c r="D201" s="46"/>
      <x:c r="E201" s="52"/>
      <x:c r="F201" s="46"/>
      <x:c r="G201" s="46"/>
      <x:c r="H201" s="48" t="str">
        <x:f>IF(OR(B201="",C201="",D201=""),"",IF(AND(C201&gt;=IFERROR(VLOOKUP(B201,'Exercise Library'!$A$5:$L$52,10,FALSE),999),D201&gt;=IFERROR(VLOOKUP(B201,'Exercise Library'!$A$5:$L$52,11,FALSE),999),D201&lt;=C201),"PASS","REPEAT"))</x:f>
      </x:c>
      <x:c r="I201" s="46"/>
      <x:c r="J201" s="46"/>
    </x:row>
    <x:row r="202" ht="31" customHeight="1">
      <x:c r="A202" s="50"/>
      <x:c r="B202" s="46"/>
      <x:c r="C202" s="46"/>
      <x:c r="D202" s="46"/>
      <x:c r="E202" s="52"/>
      <x:c r="F202" s="46"/>
      <x:c r="G202" s="46"/>
      <x:c r="H202" s="48" t="str">
        <x:f>IF(OR(B202="",C202="",D202=""),"",IF(AND(C202&gt;=IFERROR(VLOOKUP(B202,'Exercise Library'!$A$5:$L$52,10,FALSE),999),D202&gt;=IFERROR(VLOOKUP(B202,'Exercise Library'!$A$5:$L$52,11,FALSE),999),D202&lt;=C202),"PASS","REPEAT"))</x:f>
      </x:c>
      <x:c r="I202" s="46"/>
      <x:c r="J202" s="46"/>
    </x:row>
    <x:row r="203" ht="31" customHeight="1">
      <x:c r="A203" s="50"/>
      <x:c r="B203" s="46"/>
      <x:c r="C203" s="46"/>
      <x:c r="D203" s="46"/>
      <x:c r="E203" s="52"/>
      <x:c r="F203" s="46"/>
      <x:c r="G203" s="46"/>
      <x:c r="H203" s="48" t="str">
        <x:f>IF(OR(B203="",C203="",D203=""),"",IF(AND(C203&gt;=IFERROR(VLOOKUP(B203,'Exercise Library'!$A$5:$L$52,10,FALSE),999),D203&gt;=IFERROR(VLOOKUP(B203,'Exercise Library'!$A$5:$L$52,11,FALSE),999),D203&lt;=C203),"PASS","REPEAT"))</x:f>
      </x:c>
      <x:c r="I203" s="46"/>
      <x:c r="J203" s="46"/>
    </x:row>
    <x:row r="204" ht="31" customHeight="1">
      <x:c r="A204" s="50"/>
      <x:c r="B204" s="46"/>
      <x:c r="C204" s="46"/>
      <x:c r="D204" s="46"/>
      <x:c r="E204" s="52"/>
      <x:c r="F204" s="46"/>
      <x:c r="G204" s="46"/>
      <x:c r="H204" s="48" t="str">
        <x:f>IF(OR(B204="",C204="",D204=""),"",IF(AND(C204&gt;=IFERROR(VLOOKUP(B204,'Exercise Library'!$A$5:$L$52,10,FALSE),999),D204&gt;=IFERROR(VLOOKUP(B204,'Exercise Library'!$A$5:$L$52,11,FALSE),999),D204&lt;=C204),"PASS","REPEAT"))</x:f>
      </x:c>
      <x:c r="I204" s="46"/>
      <x:c r="J204" s="46"/>
    </x:row>
  </x:sheetData>
  <x:mergeCells>
    <x:mergeCell ref="A1:J2"/>
    <x:mergeCell ref="A3:J3"/>
  </x:mergeCells>
  <x:conditionalFormatting sqref="H5:H204">
    <x:cfRule type="expression" dxfId="3" priority="1">
      <x:formula>H5="PASS"</x:formula>
    </x:cfRule>
    <x:cfRule type="expression" dxfId="4" priority="2">
      <x:formula>H5="REPEAT"</x:formula>
    </x:cfRule>
  </x:conditionalFormatting>
  <x:dataValidations count="1">
    <x:dataValidation type="list" sqref="B5:B204">
      <x:formula1>'Exercise Library'!$A$5:$A$52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4264916d39492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45" hidden="0" customWidth="1"/>
    <x:col min="4" max="4" width="53" hidden="0" customWidth="1"/>
    <x:col min="5" max="5" width="43" hidden="0" customWidth="1"/>
    <x:col min="6" max="6" width="70" hidden="0" customWidth="1"/>
  </x:cols>
  <x:sheetData>
    <x:row r="1" ht="25" customHeight="1">
      <x:c r="A1" s="4" t="str">
        <x:v>COURSE SITES | SAVE ONCE, REPEAT OFTEN</x:v>
      </x:c>
      <x:c r="B1" s="4"/>
      <x:c r="C1" s="4"/>
      <x:c r="D1" s="4"/>
      <x:c r="E1" s="4"/>
      <x:c r="F1" s="4"/>
    </x:row>
    <x:row r="2" ht="25" customHeight="1">
      <x:c r="A2" s="4"/>
      <x:c r="B2" s="4"/>
      <x:c r="C2" s="4"/>
      <x:c r="D2" s="4"/>
      <x:c r="E2" s="4"/>
      <x:c r="F2" s="4"/>
    </x:row>
    <x:row r="3" ht="26" customHeight="1">
      <x:c r="A3" s="10" t="str">
        <x:v>The first setup takes time; each location is a user-created landmark and saved start, not an official waypoint ID.</x:v>
      </x:c>
      <x:c r="B3" s="10"/>
      <x:c r="C3" s="10"/>
      <x:c r="D3" s="10"/>
      <x:c r="E3" s="10"/>
      <x:c r="F3" s="10"/>
    </x:row>
    <x:row r="4" ht="28" customHeight="1">
      <x:c r="A4" s="17" t="str">
        <x:v>Site</x:v>
      </x:c>
      <x:c r="B4" s="17" t="str">
        <x:v>Official or mod</x:v>
      </x:c>
      <x:c r="C4" s="17" t="str">
        <x:v>Repeatable landmark</x:v>
      </x:c>
      <x:c r="D4" s="17" t="str">
        <x:v>What to build</x:v>
      </x:c>
      <x:c r="E4" s="17" t="str">
        <x:v>Used by</x:v>
      </x:c>
      <x:c r="F4" s="17" t="str">
        <x:v>Reference</x:v>
      </x:c>
    </x:row>
    <x:row r="5" ht="76" customHeight="1">
      <x:c r="A5" s="24" t="str">
        <x:v>ETK east skidpad</x:v>
      </x:c>
      <x:c r="B5" s="24" t="str">
        <x:v>Official</x:v>
      </x:c>
      <x:c r="C5" s="24" t="str">
        <x:v>Large skidpad east of 4-lane road</x:v>
      </x:c>
      <x:c r="D5" s="24" t="str">
        <x:v>Parking box, 6-cone slalom, circle and figure-eight</x:v>
      </x:c>
      <x:c r="E5" s="24" t="str">
        <x:v>A01 A05 B05 B06 B07 C03 C05 C07 D01</x:v>
      </x:c>
      <x:c r="F5" s="24" t="str">
        <x:v>https://documentation.beamng.com/official_content/levels/</x:v>
      </x:c>
    </x:row>
    <x:row r="6" ht="76" customHeight="1">
      <x:c r="A6" s="24" t="str">
        <x:v>ETK west training area</x:v>
      </x:c>
      <x:c r="B6" s="24" t="str">
        <x:v>Official</x:v>
      </x:c>
      <x:c r="C6" s="24" t="str">
        <x:v>Smaller west-side school tracks and slanted/wet roads</x:v>
      </x:c>
      <x:c r="D6" s="24" t="str">
        <x:v>Camber comparisons; two saved starts</x:v>
      </x:c>
      <x:c r="E6" s="24" t="str">
        <x:v>D07</x:v>
      </x:c>
      <x:c r="F6" s="24" t="str">
        <x:v>https://documentation.beamng.com/official_content/levels/</x:v>
      </x:c>
    </x:row>
    <x:row r="7" ht="76" customHeight="1">
      <x:c r="A7" s="24" t="str">
        <x:v>Automation aerodrome</x:v>
      </x:c>
      <x:c r="B7" s="24" t="str">
        <x:v>Official</x:v>
      </x:c>
      <x:c r="C7" s="24" t="str">
        <x:v>Aerodrome runway</x:v>
      </x:c>
      <x:c r="D7" s="24" t="str">
        <x:v>Braking/start/stop zone; mark distances with cones</x:v>
      </x:c>
      <x:c r="E7" s="24" t="str">
        <x:v>A02 A03 A04 B01 B02 B03 F03</x:v>
      </x:c>
      <x:c r="F7" s="24" t="str">
        <x:v>https://documentation.beamng.com/official_content/levels/</x:v>
      </x:c>
    </x:row>
    <x:row r="8" ht="76" customHeight="1">
      <x:c r="A8" s="24" t="str">
        <x:v>Automation handling circuit</x:v>
      </x:c>
      <x:c r="B8" s="24" t="str">
        <x:v>Official</x:v>
      </x:c>
      <x:c r="C8" s="24" t="str">
        <x:v>Road-handling track (choose fixed bend)</x:v>
      </x:c>
      <x:c r="D8" s="24" t="str">
        <x:v>Corner markers + safe runoff; screenshot</x:v>
      </x:c>
      <x:c r="E8" s="24" t="str">
        <x:v>A06 A07 A08 B04 C01 D06</x:v>
      </x:c>
      <x:c r="F8" s="24" t="str">
        <x:v>https://documentation.beamng.com/official_content/levels/</x:v>
      </x:c>
    </x:row>
    <x:row r="9" ht="76" customHeight="1">
      <x:c r="A9" s="24" t="str">
        <x:v>Automation rally track</x:v>
      </x:c>
      <x:c r="B9" s="24" t="str">
        <x:v>Official</x:v>
      </x:c>
      <x:c r="C9" s="24" t="str">
        <x:v>Dedicated gravel Rally Track</x:v>
      </x:c>
      <x:c r="D9" s="24" t="str">
        <x:v>Short 20–90s timed sectors; save RSC stage JSON</x:v>
      </x:c>
      <x:c r="E9" s="24" t="str">
        <x:v>B03 B08 C02 C06 D02 D08 E02 E03 E04 E05 F02 F04 F07</x:v>
      </x:c>
      <x:c r="F9" s="24" t="str">
        <x:v>https://documentation.beamng.com/official_content/levels/</x:v>
      </x:c>
    </x:row>
    <x:row r="10" ht="76" customHeight="1">
      <x:c r="A10" s="24" t="str">
        <x:v>Utah canyon dirt roads</x:v>
      </x:c>
      <x:c r="B10" s="24" t="str">
        <x:v>Official</x:v>
      </x:c>
      <x:c r="C10" s="24" t="str">
        <x:v>Wide gravel hairpin / blind rock corner / ford</x:v>
      </x:c>
      <x:c r="D10" s="24" t="str">
        <x:v>Four distinct saved start points + jump recce</x:v>
      </x:c>
      <x:c r="E10" s="24" t="str">
        <x:v>C04 C08 D05 E06 E08 F06</x:v>
      </x:c>
      <x:c r="F10" s="24" t="str">
        <x:v>https://www.beamng.com/game/news/patch/beamng-drive-v0-39/</x:v>
      </x:c>
    </x:row>
    <x:row r="11" ht="76" customHeight="1">
      <x:c r="A11" s="24" t="str">
        <x:v>Italy rural pavement</x:v>
      </x:c>
      <x:c r="B11" s="24" t="str">
        <x:v>Official</x:v>
      </x:c>
      <x:c r="C11" s="24" t="str">
        <x:v>Choose two documented hillside bends (tightens/opens)</x:v>
      </x:c>
      <x:c r="D11" s="24" t="str">
        <x:v>Record screenshot and cones so line remains identical</x:v>
      </x:c>
      <x:c r="E11" s="24" t="str">
        <x:v>D03 D04</x:v>
      </x:c>
      <x:c r="F11" s="24" t="str">
        <x:v>https://documentation.beamng.com/official_content/levels/</x:v>
      </x:c>
    </x:row>
    <x:row r="12" ht="76" customHeight="1">
      <x:c r="A12" s="24" t="str">
        <x:v>Johnson Valley rough track</x:v>
      </x:c>
      <x:c r="B12" s="24" t="str">
        <x:v>Official</x:v>
      </x:c>
      <x:c r="C12" s="24" t="str">
        <x:v>Rutted desert trail with safe runoff</x:v>
      </x:c>
      <x:c r="D12" s="24" t="str">
        <x:v>Mark short 150–250m rough-ground section</x:v>
      </x:c>
      <x:c r="E12" s="24" t="str">
        <x:v>E07</x:v>
      </x:c>
      <x:c r="F12" s="24" t="str">
        <x:v>https://documentation.beamng.com/official_content/levels/</x:v>
      </x:c>
    </x:row>
    <x:row r="13" ht="76" customHeight="1">
      <x:c r="A13" s="24" t="str">
        <x:v>West Coast + Winter West Coast</x:v>
      </x:c>
      <x:c r="B13" s="24" t="str">
        <x:v>Optional mod</x:v>
      </x:c>
      <x:c r="C13" s="24" t="str">
        <x:v>Same road in both maps</x:v>
      </x:c>
      <x:c r="D13" s="24" t="str">
        <x:v>Compare dry and reduced-friction snowy surfaces</x:v>
      </x:c>
      <x:c r="E13" s="24" t="str">
        <x:v>E01</x:v>
      </x:c>
      <x:c r="F13" s="24" t="str">
        <x:v>https://www.beamng.com/resources/winter-west-coast-usa.34794/</x:v>
      </x:c>
    </x:row>
    <x:row r="14" ht="76" customHeight="1">
      <x:c r="A14" s="24" t="str">
        <x:v>Utah NGRC Rally Mode</x:v>
      </x:c>
      <x:c r="B14" s="24" t="str">
        <x:v>Official</x:v>
      </x:c>
      <x:c r="C14" s="24" t="str">
        <x:v>Official 2026 loop or individual rally stage</x:v>
      </x:c>
      <x:c r="D14" s="24" t="str">
        <x:v>Use mission start with actual co-driver notes</x:v>
      </x:c>
      <x:c r="E14" s="24" t="str">
        <x:v>F01 F05 F08</x:v>
      </x:c>
      <x:c r="F14" s="24" t="str">
        <x:v>https://www.beamng.com/game/news/patch/beamng-drive-v0-39/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71f14b952b54ac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86" hidden="0" customWidth="1"/>
    <x:col min="3" max="3" width="92" hidden="0" customWidth="1"/>
  </x:cols>
  <x:sheetData>
    <x:row r="1" ht="25" customHeight="1">
      <x:c r="A1" s="4" t="str">
        <x:v>SOURCES, LIMITATIONS &amp; DEFINITIONS</x:v>
      </x:c>
      <x:c r="B1" s="4"/>
      <x:c r="C1" s="4"/>
    </x:row>
    <x:row r="2" ht="25" customHeight="1">
      <x:c r="A2" s="4"/>
      <x:c r="B2" s="4"/>
      <x:c r="C2" s="4"/>
    </x:row>
    <x:row r="3" ht="26" customHeight="1">
      <x:c r="A3" s="10" t="str">
        <x:v>The 48 drills, score thresholds, course marker placements, and sequence are ORIGINAL proposed exercises, not official BeamNG missions.</x:v>
      </x:c>
      <x:c r="B3" s="10"/>
      <x:c r="C3" s="10"/>
    </x:row>
    <x:row r="4" ht="28" customHeight="1">
      <x:c r="A4" s="17" t="str">
        <x:v>Reference / origin</x:v>
      </x:c>
      <x:c r="B4" s="17" t="str">
        <x:v>URL</x:v>
      </x:c>
      <x:c r="C4" s="17" t="str">
        <x:v>What it verifies / how it is used</x:v>
      </x:c>
    </x:row>
    <x:row r="5" ht="40" customHeight="1">
      <x:c r="A5" s="24" t="str">
        <x:v>Official BeamNG levels</x:v>
      </x:c>
      <x:c r="B5" s="24" t="str">
        <x:v>https://documentation.beamng.com/official_content/levels/</x:v>
      </x:c>
      <x:c r="C5" s="24" t="str">
        <x:v>Supports ETK, Automation, Utah, Italy, West Coast, Johnson Valley official map selections.</x:v>
      </x:c>
    </x:row>
    <x:row r="6" ht="40" customHeight="1">
      <x:c r="A6" s="24" t="str">
        <x:v>BeamNG v0.39 Rally Mode release notes</x:v>
      </x:c>
      <x:c r="B6" s="24" t="str">
        <x:v>https://www.beamng.com/game/news/patch/beamng-drive-v0-39/</x:v>
      </x:c>
      <x:c r="C6" s="24" t="str">
        <x:v>Utah NGRC 2026 loop: four gravel stages and 16.4 km of special stages; jumps, river crossings; co-driver/pacenotes.</x:v>
      </x:c>
    </x:row>
    <x:row r="7" ht="40" customHeight="1">
      <x:c r="A7" s="24" t="str">
        <x:v>Default keyboard controls</x:v>
      </x:c>
      <x:c r="B7" s="24" t="str">
        <x:v>https://documentation.beamng.com/modding/input/default-keyboard-bindings/</x:v>
      </x:c>
      <x:c r="C7" s="24" t="str">
        <x:v>Ctrl+Home save position; Home recover; Insert repair; Shift+Ctrl+H deflates random tire.</x:v>
      </x:c>
    </x:row>
    <x:row r="8" ht="40" customHeight="1">
      <x:c r="A8" s="24" t="str">
        <x:v>Official Ibishu configs</x:v>
      </x:c>
      <x:c r="B8" s="24" t="str">
        <x:v>https://documentation.beamng.com/official_content/vehicles/ibishu/</x:v>
      </x:c>
      <x:c r="C8" s="24" t="str">
        <x:v>Covet Student Driver and BX-Series 200BX Type-LS.</x:v>
      </x:c>
    </x:row>
    <x:row r="9" ht="40" customHeight="1">
      <x:c r="A9" s="24" t="str">
        <x:v>Official Hirochi configs</x:v>
      </x:c>
      <x:c r="B9" s="24" t="str">
        <x:v>https://documentation.beamng.com/official_content/vehicles/hirochi/</x:v>
      </x:c>
      <x:c r="C9" s="24" t="str">
        <x:v>Sunburst NGRC2 Gravel/Asphalt Rally; SBR4 NGRC2 Rally Gravel.</x:v>
      </x:c>
    </x:row>
    <x:row r="10" ht="40" customHeight="1">
      <x:c r="A10" s="24" t="str">
        <x:v>Official Cherrier configs</x:v>
      </x:c>
      <x:c r="B10" s="24" t="str">
        <x:v>https://documentation.beamng.com/official_content/vehicles/cherrier/</x:v>
      </x:c>
      <x:c r="C10" s="24" t="str">
        <x:v>Vivace NGRC1 gravel and asphalt rally presets.</x:v>
      </x:c>
    </x:row>
    <x:row r="11" ht="40" customHeight="1">
      <x:c r="A11" s="24" t="str">
        <x:v>Official guide to creating vehicle configs</x:v>
      </x:c>
      <x:c r="B11" s="24" t="str">
        <x:v>https://www.beamng.com/game/support/portal/gameplay/veh-config/</x:v>
      </x:c>
      <x:c r="C11" s="24" t="str">
        <x:v>Save/load parts and tuning configurations; available adjustments vary by car/parts.</x:v>
      </x:c>
    </x:row>
    <x:row r="12" ht="40" customHeight="1">
      <x:c r="A12" s="24" t="str">
        <x:v>Experimental Rally Stage Creator (community)</x:v>
      </x:c>
      <x:c r="B12" s="24" t="str">
        <x:v>https://www.beamng.com/resources/rally-stage-creator.39134/</x:v>
      </x:c>
      <x:c r="C12" s="24" t="str">
        <x:v>User-created stages, checkpoints, quick restart, timing, leaderboard, split deltas.</x:v>
      </x:c>
    </x:row>
    <x:row r="13" ht="40" customHeight="1">
      <x:c r="A13" s="24" t="str">
        <x:v>Rally Stage Creator v0.31 update</x:v>
      </x:c>
      <x:c r="B13" s="24" t="str">
        <x:v>https://www.beamng.com/resources/rally-stage-creator.39134/update?update=71918</x:v>
      </x:c>
      <x:c r="C13" s="24" t="str">
        <x:v>Saved stage library, JSON stage export/import, telemetry and experimental racing line heatmap.</x:v>
      </x:c>
    </x:row>
    <x:row r="14" ht="40" customHeight="1">
      <x:c r="A14" s="24" t="str">
        <x:v>Winter West Coast, USA optional map</x:v>
      </x:c>
      <x:c r="B14" s="24" t="str">
        <x:v>https://www.beamng.com/resources/winter-west-coast-usa.34794/</x:v>
      </x:c>
      <x:c r="C14" s="24" t="str">
        <x:v>Community map (last updated Aug 2026) with reduced road friction; E01 is optional.</x:v>
      </x:c>
    </x:row>
    <x:row r="15" ht="40" customHeight="1">
      <x:c r="A15" s="24" t="str">
        <x:v>RBR manual</x:v>
      </x:c>
      <x:c r="B15" s="24" t="str">
        <x:v>https://manualzz.com/doc/31463515/richard-burns-rally-rally-game-user-manual</x:v>
      </x:c>
      <x:c r="C15" s="24" t="str">
        <x:v>Original rally-school ideas and exercise sequencing.</x:v>
      </x:c>
    </x:row>
    <x:row r="16" ht="40" customHeight="1">
      <x:c r="A16" s="24" t="str">
        <x:v>Team O’Neil course matrix</x:v>
      </x:c>
      <x:c r="B16" s="24" t="str">
        <x:v>https://teamoneil.com/compare-rally-school-days/</x:v>
      </x:c>
      <x:c r="C16" s="24" t="str">
        <x:v>Real-world progressive rally driving fundamentals.</x:v>
      </x:c>
    </x:row>
    <x:row r="17" ht="40" customHeight="1">
      <x:c r="A17" s="24" t="str">
        <x:v>DirtFish driving instruction</x:v>
      </x:c>
      <x:c r="B17" s="24" t="str">
        <x:v>https://dirtfish.com/learn/driving/</x:v>
      </x:c>
      <x:c r="C17" s="24" t="str">
        <x:v>Skidpad, slalom, trail braking, linked-road ideas.</x:v>
      </x:c>
    </x:row>
    <x:row r="18" ht="40" customHeight="1">
      <x:c r="A18" s="24" t="str">
        <x:v>Jon Armstrong school topics</x:v>
      </x:c>
      <x:c r="B18" s="24" t="str">
        <x:v>https://www.rallygamer.com/rallyschool/tutorial-videos</x:v>
      </x:c>
      <x:c r="C18" s="24" t="str">
        <x:v>Technique coverage and progression.</x:v>
      </x:c>
    </x:row>
    <x:row r="20" ht="24" customHeight="1">
      <x:c r="A20" s="76" t="str">
        <x:v>IMPORTANT METHODOLOGY</x:v>
      </x:c>
      <x:c r="B20" s="76"/>
      <x:c r="C20" s="76"/>
    </x:row>
    <x:row r="21" ht="32" customHeight="1">
      <x:c r="A21" s="81" t="str">
        <x:v>The 48 scenario IDs are user-authored exercise specs. Nothing in this file installs missions, sets spawn coordinates, or automatically times/grades your driving.</x:v>
      </x:c>
      <x:c r="B21" s="81"/>
      <x:c r="C21" s="81"/>
    </x:row>
    <x:row r="22" ht="32" customHeight="1">
      <x:c r="A22" s="88" t="str">
        <x:v>Each location is a recognizable MAP AREA plus instructions for selecting a specific segment and saving it. Exact bend and cone coordinates are NOT verified game waypoints.</x:v>
      </x:c>
      <x:c r="B22" s="88"/>
      <x:c r="C22" s="88"/>
    </x:row>
    <x:row r="23" ht="32" customHeight="1">
      <x:c r="A23" s="81" t="str">
        <x:v>For a clean attempt: no contact with marker cones/trees/barriers, no damaging impact, no invalid shortcut, no recovery during the scored portion, unless the drill specifically measures damage control.</x:v>
      </x:c>
      <x:c r="B23" s="81"/>
      <x:c r="C23" s="81"/>
    </x:row>
    <x:row r="24" ht="32" customHeight="1">
      <x:c r="A24" s="88" t="str">
        <x:v>Record qualifying runs using the per-repetition gate. For F02, compare each clean run to fastest clean run in same block. F07 requires recording clean A/B times; speed improvement is not forced.</x:v>
      </x:c>
      <x:c r="B24" s="88"/>
      <x:c r="C24" s="88"/>
    </x:row>
    <x:row r="25" ht="32" customHeight="1">
      <x:c r="A25" s="81" t="str">
        <x:v>Default advice: traffic off; daylight; same tires/assists/camera/FOV, same gear strategy and starting speed; full stop before Ctrl+Home. Do not use collision resets as an active driving aid.</x:v>
      </x:c>
      <x:c r="B25" s="81"/>
      <x:c r="C25" s="81"/>
    </x:row>
    <x:row r="26" ht="32" customHeight="1">
      <x:c r="A26" s="88" t="str">
        <x:v>Some drills require initial preparation: place movable cones, choose a corner, save screenshot, create an RSC stage, and/or use official Rally Mode. The first setup has unavoidable overhead.</x:v>
      </x:c>
      <x:c r="B26" s="88"/>
      <x:c r="C26" s="88"/>
    </x:row>
    <x:row r="27" ht="32" customHeight="1">
      <x:c r="A27" s="81" t="str">
        <x:v>If RSC mod updates change UI/feature availability, use stopwatch or the official Rally Editor / Time Trial. Drill criteria are tool-agnostic.</x:v>
      </x:c>
      <x:c r="B27" s="81"/>
      <x:c r="C27" s="81"/>
    </x:row>
    <x:row r="28" ht="32" customHeight="1">
      <x:c r="A28" s="88" t="str">
        <x:v>The E01 winter map is optional; winter traction is mod-defined and is not equivalent to a validated real-world coefficient-of-friction test.</x:v>
      </x:c>
      <x:c r="B28" s="88"/>
      <x:c r="C28" s="88"/>
    </x:row>
    <x:row r="29" ht="32" customHeight="1">
      <x:c r="A29" s="81" t="str">
        <x:v>F01, F05 and F08 use built-in Rally Mode for actual spoken pacenotes: those assessments do NOT claim instantaneous mission restart.</x:v>
      </x:c>
      <x:c r="B29" s="81"/>
      <x:c r="C29" s="81"/>
    </x:row>
    <x:row r="30" ht="32" customHeight="1">
      <x:c r="A30" s="88" t="str">
        <x:v>The date column is optional. Use one Session Log row per complete block; incomplete blocks do not earn a PASS by design.</x:v>
      </x:c>
      <x:c r="B30" s="88"/>
      <x:c r="C30" s="88"/>
    </x:row>
  </x:sheetData>
  <x:mergeCells>
    <x:mergeCell ref="A1:C2"/>
    <x:mergeCell ref="A3:C3"/>
    <x:mergeCell ref="A20:C20"/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A29:C29"/>
    <x:mergeCell ref="A30:C30"/>
  </x:mergeCells>
  <x:pageMargins left="0.7" right="0.7" top="0.75" bottom="0.75" header="0.3" footer="0.3"/>
</x:worksheet>
</file>